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2.Excel Content\"/>
    </mc:Choice>
  </mc:AlternateContent>
  <xr:revisionPtr revIDLastSave="0" documentId="13_ncr:1_{728A2F7E-AEF7-44B2-AC1E-1C8692B87DD2}" xr6:coauthVersionLast="47" xr6:coauthVersionMax="47" xr10:uidLastSave="{00000000-0000-0000-0000-000000000000}"/>
  <bookViews>
    <workbookView xWindow="-108" yWindow="-108" windowWidth="23256" windowHeight="12456" firstSheet="10" activeTab="15"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 name="Video-11" sheetId="36" r:id="rId12"/>
    <sheet name="Video-12" sheetId="37" r:id="rId13"/>
    <sheet name="Video-13" sheetId="38" r:id="rId14"/>
    <sheet name="Video-14" sheetId="40" r:id="rId15"/>
    <sheet name="Video-15" sheetId="41" r:id="rId16"/>
    <sheet name="Sheet5" sheetId="34" state="hidden" r:id="rId17"/>
  </sheets>
  <definedNames>
    <definedName name="_xlnm._FilterDatabase" localSheetId="10" hidden="1">'Video-10'!$C$1:$H$11</definedName>
    <definedName name="_xlnm._FilterDatabase" localSheetId="11" hidden="1">'Video-11'!$C$1:$G$5</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41" l="1"/>
  <c r="AI3" i="41"/>
  <c r="AH3" i="41"/>
  <c r="AG3" i="41"/>
  <c r="AF3" i="41"/>
  <c r="AC14" i="41"/>
  <c r="AC15" i="41"/>
  <c r="AC16" i="41"/>
  <c r="AC17" i="41"/>
  <c r="AC13" i="41"/>
  <c r="AA6" i="41" a="1"/>
  <c r="AA6" i="41" s="1"/>
  <c r="AA7" i="41" a="1"/>
  <c r="AA7" i="41" s="1"/>
  <c r="AA4" i="41" a="1"/>
  <c r="AA4" i="41" s="1"/>
  <c r="AA5" i="41" a="1"/>
  <c r="AA5" i="41" s="1"/>
  <c r="AA3" i="41" a="1"/>
  <c r="AA3" i="41" s="1"/>
  <c r="W6" i="41"/>
  <c r="W5" i="41"/>
  <c r="W4" i="41"/>
  <c r="W3" i="41"/>
  <c r="S13" i="41"/>
  <c r="R13" i="41"/>
  <c r="Q4" i="41"/>
  <c r="Q5" i="41"/>
  <c r="Q6" i="41"/>
  <c r="Q7" i="41"/>
  <c r="Q3" i="41"/>
  <c r="K13" i="41"/>
  <c r="K14" i="41"/>
  <c r="K15" i="41"/>
  <c r="K16" i="41"/>
  <c r="K12" i="41"/>
  <c r="M4" i="41"/>
  <c r="M5" i="41"/>
  <c r="M6" i="41"/>
  <c r="M7" i="41"/>
  <c r="M3" i="41"/>
  <c r="L4" i="41"/>
  <c r="L5" i="41"/>
  <c r="L6" i="41"/>
  <c r="L7" i="41"/>
  <c r="L3" i="41"/>
  <c r="K4" i="41"/>
  <c r="K5" i="41"/>
  <c r="K6" i="41"/>
  <c r="K7" i="41"/>
  <c r="K3" i="41"/>
  <c r="G3" i="41"/>
  <c r="G4" i="41"/>
  <c r="G5" i="41"/>
  <c r="G6" i="41"/>
  <c r="G7" i="41"/>
  <c r="F4" i="41"/>
  <c r="F5" i="41"/>
  <c r="F6" i="41"/>
  <c r="F7" i="41"/>
  <c r="F3" i="41"/>
  <c r="D12" i="40" l="1"/>
  <c r="E12" i="40"/>
  <c r="F12" i="40"/>
  <c r="G12" i="40"/>
  <c r="H12" i="40"/>
  <c r="I12" i="40"/>
  <c r="J12" i="40"/>
  <c r="D13" i="40"/>
  <c r="E13" i="40"/>
  <c r="F13" i="40"/>
  <c r="G13" i="40"/>
  <c r="H13" i="40"/>
  <c r="I13" i="40"/>
  <c r="J13" i="40"/>
  <c r="D14" i="40"/>
  <c r="E14" i="40"/>
  <c r="F14" i="40"/>
  <c r="G14" i="40"/>
  <c r="H14" i="40"/>
  <c r="I14" i="40"/>
  <c r="J14" i="40"/>
  <c r="D15" i="40"/>
  <c r="E15" i="40"/>
  <c r="F15" i="40"/>
  <c r="G15" i="40"/>
  <c r="H15" i="40"/>
  <c r="I15" i="40"/>
  <c r="J15" i="40"/>
  <c r="D16" i="40"/>
  <c r="E16" i="40"/>
  <c r="F16" i="40"/>
  <c r="G16" i="40"/>
  <c r="H16" i="40"/>
  <c r="I16" i="40"/>
  <c r="J16" i="40"/>
  <c r="D17" i="40"/>
  <c r="E17" i="40"/>
  <c r="F17" i="40"/>
  <c r="G17" i="40"/>
  <c r="H17" i="40"/>
  <c r="I17" i="40"/>
  <c r="J17" i="40"/>
  <c r="D18" i="40"/>
  <c r="E18" i="40"/>
  <c r="F18" i="40"/>
  <c r="G18" i="40"/>
  <c r="H18" i="40"/>
  <c r="I18" i="40"/>
  <c r="J18" i="40"/>
  <c r="E11" i="40"/>
  <c r="F11" i="40"/>
  <c r="G11" i="40"/>
  <c r="H11" i="40"/>
  <c r="I11" i="40"/>
  <c r="J11" i="40"/>
  <c r="D11" i="40"/>
  <c r="L6" i="40"/>
  <c r="K3" i="40"/>
  <c r="L3" i="40" s="1"/>
  <c r="K4" i="40"/>
  <c r="L4" i="40" s="1"/>
  <c r="K5" i="40"/>
  <c r="L5" i="40" s="1"/>
  <c r="K6" i="40"/>
  <c r="K7" i="40"/>
  <c r="L7" i="40" s="1"/>
  <c r="F5" i="40"/>
  <c r="F4" i="40"/>
  <c r="F3" i="40"/>
  <c r="F6" i="40"/>
  <c r="F7" i="40"/>
  <c r="T4" i="38"/>
  <c r="T5" i="38"/>
  <c r="T6" i="38"/>
  <c r="T7" i="38"/>
  <c r="T8" i="38"/>
  <c r="T9" i="38"/>
  <c r="T10" i="38"/>
  <c r="T11" i="38"/>
  <c r="T12" i="38"/>
  <c r="T13" i="38"/>
  <c r="T14" i="38"/>
  <c r="T15" i="38"/>
  <c r="T3" i="38"/>
  <c r="S4" i="38"/>
  <c r="S5" i="38"/>
  <c r="S6" i="38"/>
  <c r="S7" i="38"/>
  <c r="S8" i="38"/>
  <c r="S9" i="38"/>
  <c r="S10" i="38"/>
  <c r="S11" i="38"/>
  <c r="S12" i="38"/>
  <c r="S13" i="38"/>
  <c r="S14" i="38"/>
  <c r="S15" i="38"/>
  <c r="S3" i="38"/>
  <c r="P12" i="38"/>
  <c r="R4" i="38"/>
  <c r="R5" i="38"/>
  <c r="R6" i="38"/>
  <c r="R7" i="38"/>
  <c r="R8" i="38"/>
  <c r="R9" i="38"/>
  <c r="R10" i="38"/>
  <c r="R11" i="38"/>
  <c r="R12" i="38"/>
  <c r="R13" i="38"/>
  <c r="R14" i="38"/>
  <c r="R15" i="38"/>
  <c r="R3" i="38"/>
  <c r="Q4" i="38"/>
  <c r="Q5" i="38"/>
  <c r="Q6" i="38"/>
  <c r="Q7" i="38"/>
  <c r="Q8" i="38"/>
  <c r="Q9" i="38"/>
  <c r="Q10" i="38"/>
  <c r="Q11" i="38"/>
  <c r="Q12" i="38"/>
  <c r="Q13" i="38"/>
  <c r="Q14" i="38"/>
  <c r="Q15" i="38"/>
  <c r="Q3" i="38"/>
  <c r="P4" i="38"/>
  <c r="P5" i="38"/>
  <c r="P6" i="38"/>
  <c r="P7" i="38"/>
  <c r="P8" i="38"/>
  <c r="P9" i="38"/>
  <c r="P10" i="38"/>
  <c r="P11" i="38"/>
  <c r="P13" i="38"/>
  <c r="P14" i="38"/>
  <c r="P15" i="38"/>
  <c r="P3" i="38"/>
  <c r="K4" i="38"/>
  <c r="K5" i="38"/>
  <c r="K6" i="38"/>
  <c r="K7" i="38"/>
  <c r="K8" i="38"/>
  <c r="K3" i="38"/>
  <c r="J4" i="38"/>
  <c r="J5" i="38"/>
  <c r="J6" i="38"/>
  <c r="J7" i="38"/>
  <c r="J8" i="38"/>
  <c r="J3" i="38"/>
  <c r="I4" i="38"/>
  <c r="I5" i="38"/>
  <c r="I6" i="38"/>
  <c r="I7" i="38"/>
  <c r="I8" i="38"/>
  <c r="I3" i="38"/>
  <c r="H4" i="38"/>
  <c r="H5" i="38"/>
  <c r="H6" i="38"/>
  <c r="H7" i="38"/>
  <c r="H8" i="38"/>
  <c r="H3" i="38"/>
  <c r="L11" i="37"/>
  <c r="L10" i="37"/>
  <c r="M10" i="37"/>
  <c r="N10" i="37"/>
  <c r="O10" i="37"/>
  <c r="M11" i="37"/>
  <c r="N11" i="37"/>
  <c r="O11" i="37"/>
  <c r="L12" i="37"/>
  <c r="M12" i="37"/>
  <c r="N12" i="37"/>
  <c r="O12" i="37"/>
  <c r="L13" i="37"/>
  <c r="M13" i="37"/>
  <c r="N13" i="37"/>
  <c r="O13" i="37"/>
  <c r="L14" i="37"/>
  <c r="M14" i="37"/>
  <c r="N14" i="37"/>
  <c r="O14" i="37"/>
  <c r="L15" i="37"/>
  <c r="M15" i="37"/>
  <c r="N15" i="37"/>
  <c r="O15" i="37"/>
  <c r="H15" i="37"/>
  <c r="H14" i="37"/>
  <c r="H13" i="37"/>
  <c r="H12" i="37"/>
  <c r="H11" i="37"/>
  <c r="H4" i="37"/>
  <c r="H5" i="37"/>
  <c r="H6" i="37"/>
  <c r="H7" i="37"/>
  <c r="H8" i="37"/>
  <c r="I4" i="37"/>
  <c r="G8" i="36"/>
  <c r="G7" i="36"/>
  <c r="G6" i="36"/>
  <c r="G2" i="36"/>
  <c r="G3" i="36"/>
  <c r="G4" i="36"/>
  <c r="G5" i="36"/>
  <c r="G12" i="27"/>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<sst xmlns="http://schemas.openxmlformats.org/spreadsheetml/2006/main" count="902" uniqueCount="394">
  <si>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</si>
  <si>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</si>
  <si>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</si>
  <si>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</si>
  <si>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</si>
  <si>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</si>
  <si>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</si>
  <si>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</si>
  <si>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</si>
  <si>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</si>
  <si>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</si>
  <si>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</si>
  <si>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</si>
  <si>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</si>
  <si>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</si>
  <si>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</si>
  <si>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</si>
  <si>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</si>
  <si>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</si>
  <si>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</si>
  <si>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</si>
  <si>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</si>
  <si>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</si>
  <si>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</si>
  <si>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</si>
  <si>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</si>
  <si>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</si>
  <si>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</si>
  <si>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</si>
  <si>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</si>
  <si>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</si>
  <si>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</si>
  <si>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</si>
  <si>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</si>
  <si>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</si>
  <si>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</si>
  <si>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</si>
  <si>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</si>
  <si>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</si>
  <si>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</si>
  <si>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</si>
  <si>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</si>
  <si>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</si>
  <si>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</si>
  <si>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</si>
  <si>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</si>
  <si>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</si>
  <si>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</si>
  <si>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</si>
  <si>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</si>
  <si>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</si>
  <si>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</si>
  <si>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</si>
  <si>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</si>
  <si>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</si>
  <si>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</si>
  <si>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</si>
  <si>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</si>
  <si>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</si>
  <si>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</si>
  <si>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</si>
  <si>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</si>
  <si>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</si>
  <si>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</si>
  <si>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</si>
  <si>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</si>
  <si>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</si>
  <si>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</si>
  <si>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</si>
  <si>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</si>
  <si>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</si>
  <si>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</si>
  <si>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</si>
  <si>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</si>
  <si>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</si>
  <si>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</si>
  <si>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</si>
  <si>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</si>
  <si>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</si>
  <si>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</si>
  <si>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</si>
  <si>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</si>
  <si>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</si>
  <si>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</si>
  <si>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</si>
  <si>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</si>
  <si>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</si>
  <si>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</si>
  <si>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</si>
  <si>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</si>
  <si>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</si>
  <si>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</si>
  <si>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</si>
  <si>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</si>
  <si>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</si>
  <si>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</si>
  <si>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</si>
  <si>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</si>
  <si>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</si>
  <si>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</si>
  <si>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</si>
  <si>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</si>
  <si>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</si>
  <si>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</si>
  <si>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</si>
  <si>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</si>
  <si>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</si>
  <si>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</si>
  <si>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</si>
  <si>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</si>
  <si>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</si>
  <si>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</si>
  <si>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</si>
  <si>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</si>
  <si>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</si>
  <si>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</si>
  <si>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</si>
  <si>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</si>
  <si>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</si>
  <si>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</si>
  <si>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</si>
  <si>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</si>
  <si>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</si>
  <si>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</si>
  <si>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</si>
  <si>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</si>
  <si>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</si>
  <si>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</si>
  <si>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</si>
  <si>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</si>
  <si>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</si>
  <si>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</si>
  <si>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</si>
  <si>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</si>
  <si>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</si>
  <si>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</si>
  <si>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</si>
  <si>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</si>
  <si>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</si>
  <si>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</si>
  <si>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</si>
  <si>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</si>
  <si>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</si>
  <si>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</si>
  <si>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</si>
  <si>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</si>
  <si>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</si>
  <si>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</si>
  <si>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</si>
  <si>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</si>
  <si>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</si>
  <si>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</si>
  <si>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</si>
  <si>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</si>
  <si>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</si>
  <si>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</si>
  <si>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</si>
  <si>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</si>
  <si>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</si>
  <si>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</si>
  <si>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</si>
  <si>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</si>
  <si>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</si>
  <si>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</si>
  <si>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</si>
  <si>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</si>
  <si>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</si>
  <si>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</si>
  <si>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</si>
  <si>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</si>
  <si>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</si>
  <si>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</si>
  <si>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</si>
  <si>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</si>
  <si>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</si>
  <si>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</si>
  <si>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</si>
  <si>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</si>
  <si>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</si>
  <si>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</si>
  <si>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</si>
  <si>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</si>
  <si>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</si>
  <si>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</si>
  <si>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</si>
  <si>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</si>
  <si>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</si>
  <si>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</si>
  <si>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</si>
  <si>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</si>
  <si>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</si>
  <si>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</si>
  <si>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</si>
  <si>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</si>
  <si>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</si>
  <si>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</si>
  <si>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</si>
  <si>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</si>
  <si>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</si>
  <si>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</si>
  <si>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</si>
  <si>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</si>
  <si>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</si>
  <si>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</si>
  <si>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</si>
  <si>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</si>
  <si>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</si>
  <si>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</si>
  <si>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</si>
  <si>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</si>
  <si>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</si>
  <si>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</si>
  <si>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</si>
  <si>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</si>
  <si>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</si>
  <si>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</si>
  <si>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</si>
  <si>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</si>
  <si>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</si>
  <si>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</si>
  <si>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</si>
  <si>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</si>
  <si>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</si>
  <si>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</si>
  <si>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</si>
  <si>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</si>
  <si>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</si>
  <si>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</si>
  <si>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</si>
  <si>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</si>
  <si>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</si>
  <si>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</si>
  <si>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</si>
  <si>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</si>
  <si>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</si>
  <si>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</si>
  <si>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</si>
  <si>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</si>
  <si>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</si>
  <si>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</si>
  <si>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</si>
  <si>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</si>
  <si>
    <t>Find &amp; Select</t>
  </si>
  <si>
    <t>Product</t>
  </si>
  <si>
    <t>Category</t>
  </si>
  <si>
    <t>Total</t>
  </si>
  <si>
    <t>Apple</t>
  </si>
  <si>
    <t>Fruit</t>
  </si>
  <si>
    <t>Banana</t>
  </si>
  <si>
    <t>Carrot</t>
  </si>
  <si>
    <t>Vegetable</t>
  </si>
  <si>
    <t>Tomato</t>
  </si>
  <si>
    <t>Mango</t>
  </si>
  <si>
    <t>Replace (CTRL + H)</t>
  </si>
  <si>
    <t>Find (CTRL + F)</t>
  </si>
  <si>
    <t>Go To Special:</t>
  </si>
  <si>
    <t>fill all blank once with one value</t>
  </si>
  <si>
    <t>fill all blanks with above value</t>
  </si>
  <si>
    <t>how to delete blank rows</t>
  </si>
  <si>
    <t>Blank</t>
  </si>
  <si>
    <t>Item Price</t>
  </si>
  <si>
    <t>Example-1 : Normal Copy Paste</t>
  </si>
  <si>
    <t>Paste Special (CTRL+ALT+V)</t>
  </si>
  <si>
    <t>Example-2 : Operations</t>
  </si>
  <si>
    <t>Add</t>
  </si>
  <si>
    <t>Subtract</t>
  </si>
  <si>
    <t>Multiply</t>
  </si>
  <si>
    <t>Example-3 : Skip Blanks</t>
  </si>
  <si>
    <t>Min</t>
  </si>
  <si>
    <t>Max</t>
  </si>
  <si>
    <t>Count</t>
  </si>
  <si>
    <t>CountA</t>
  </si>
  <si>
    <t>CountBlank</t>
  </si>
  <si>
    <t>Student</t>
  </si>
  <si>
    <t>History</t>
  </si>
  <si>
    <t>B</t>
  </si>
  <si>
    <t>C</t>
  </si>
  <si>
    <t>D</t>
  </si>
  <si>
    <t>E</t>
  </si>
  <si>
    <t>F</t>
  </si>
  <si>
    <t>Maximum</t>
  </si>
  <si>
    <t>Minimum</t>
  </si>
  <si>
    <t>Count Text</t>
  </si>
  <si>
    <t>Count - Counts only numeric values.</t>
  </si>
  <si>
    <t>CountA - Counts all non-empty cells (numbers + text)</t>
  </si>
  <si>
    <t>CountBlank - Counts empty cells</t>
  </si>
  <si>
    <t>Count Text - Counts cells containing text</t>
  </si>
  <si>
    <t>a</t>
  </si>
  <si>
    <t>abc</t>
  </si>
  <si>
    <t>@</t>
  </si>
  <si>
    <t>abc123</t>
  </si>
  <si>
    <t>Hello</t>
  </si>
  <si>
    <t>*</t>
  </si>
  <si>
    <t>Tax Rate</t>
  </si>
  <si>
    <t>Pen</t>
  </si>
  <si>
    <t>Notebook</t>
  </si>
  <si>
    <t>Eraser</t>
  </si>
  <si>
    <t>Marker</t>
  </si>
  <si>
    <t>Scale</t>
  </si>
  <si>
    <t>Relative Refrence - (No Freeze) - A1</t>
  </si>
  <si>
    <t>Absolute Refrence - (Complete Freeze) - $A$1</t>
  </si>
  <si>
    <t>Mix Refrence - (Row Freeze &amp; Column Freeze) - $A1 , A$1</t>
  </si>
  <si>
    <t>Cell Referencing :</t>
  </si>
  <si>
    <t>Tax Amount</t>
  </si>
  <si>
    <t>Statistical Formulas:</t>
  </si>
  <si>
    <t>Text Formulas:</t>
  </si>
  <si>
    <t>Length</t>
  </si>
  <si>
    <t>Trim</t>
  </si>
  <si>
    <t>Lower, Upper, Proper</t>
  </si>
  <si>
    <t>Concatenate</t>
  </si>
  <si>
    <t>Ampersand(&amp;)</t>
  </si>
  <si>
    <t>Exact</t>
  </si>
  <si>
    <t>Find</t>
  </si>
  <si>
    <t>Search</t>
  </si>
  <si>
    <t>Substitute Formula</t>
  </si>
  <si>
    <t>First Name</t>
  </si>
  <si>
    <t>Last Name</t>
  </si>
  <si>
    <t>Result</t>
  </si>
  <si>
    <t>Sharma</t>
  </si>
  <si>
    <t>Mehta</t>
  </si>
  <si>
    <t>Mumbai</t>
  </si>
  <si>
    <t>Raj</t>
  </si>
  <si>
    <t>Gupta</t>
  </si>
  <si>
    <t>Kolkata</t>
  </si>
  <si>
    <t>Sneha</t>
  </si>
  <si>
    <t>Chennai</t>
  </si>
  <si>
    <t>Arjun</t>
  </si>
  <si>
    <t>Patel</t>
  </si>
  <si>
    <t>Bangalore</t>
  </si>
  <si>
    <t>Full Name</t>
  </si>
  <si>
    <t>CONCATENATE</t>
  </si>
  <si>
    <t>Ampersand (&amp;)</t>
  </si>
  <si>
    <t>Name Input</t>
  </si>
  <si>
    <t>AMIT SHARMA</t>
  </si>
  <si>
    <t>priya mehta</t>
  </si>
  <si>
    <t>Priya Mehta</t>
  </si>
  <si>
    <t>rAj GuPtA</t>
  </si>
  <si>
    <t>Raj Gupta</t>
  </si>
  <si>
    <t>sneha VERMA</t>
  </si>
  <si>
    <t>Sneha Verma</t>
  </si>
  <si>
    <t>arjun patel</t>
  </si>
  <si>
    <t>Lower</t>
  </si>
  <si>
    <t>Upper</t>
  </si>
  <si>
    <t>Proper</t>
  </si>
  <si>
    <t>delhi</t>
  </si>
  <si>
    <t>Exact(Case sensitive)</t>
  </si>
  <si>
    <t>=</t>
  </si>
  <si>
    <t>Input Text</t>
  </si>
  <si>
    <t>Result (LEN)</t>
  </si>
  <si>
    <t>Arjun Patel 123</t>
  </si>
  <si>
    <t>Result (TRIM)</t>
  </si>
  <si>
    <t>#Trim - it removes before and after space, but it allows only 1 space b/w two words</t>
  </si>
  <si>
    <t>Data</t>
  </si>
  <si>
    <t>Want Data</t>
  </si>
  <si>
    <t>Sales Data</t>
  </si>
  <si>
    <t>Cost Data</t>
  </si>
  <si>
    <t>Sales Data Sales</t>
  </si>
  <si>
    <t>Cost Data Cost</t>
  </si>
  <si>
    <t>Sales Data Cost</t>
  </si>
  <si>
    <t>Sales Data Sales Sales</t>
  </si>
  <si>
    <t># Substitute</t>
  </si>
  <si>
    <t>=SUBSTITUTE(text,old_text,new_text,instance_num)</t>
  </si>
  <si>
    <t>text</t>
  </si>
  <si>
    <t>In which text you want to replace the text</t>
  </si>
  <si>
    <t>Old_text</t>
  </si>
  <si>
    <t>which text you want to replace</t>
  </si>
  <si>
    <t>new_text</t>
  </si>
  <si>
    <t>which text want to add inplace of old text</t>
  </si>
  <si>
    <t>instance_num</t>
  </si>
  <si>
    <t>Which position</t>
  </si>
  <si>
    <t>Result (TEXTSPLIT)</t>
  </si>
  <si>
    <t>Amit,Sharma,Delhi</t>
  </si>
  <si>
    <t>Priya,Mehta,Mumbai</t>
  </si>
  <si>
    <t>Raj,Gupta,Kolkata</t>
  </si>
  <si>
    <t># TEXTSPLIT</t>
  </si>
  <si>
    <t># TEXTJOIN</t>
  </si>
  <si>
    <t>Text Split</t>
  </si>
  <si>
    <t>Text Join</t>
  </si>
  <si>
    <t>Left</t>
  </si>
  <si>
    <t>Left, Right, Mid</t>
  </si>
  <si>
    <t>Right</t>
  </si>
  <si>
    <t>Mid</t>
  </si>
  <si>
    <t>Excel Tutorial By Amit Kumar</t>
  </si>
  <si>
    <t>Text</t>
  </si>
  <si>
    <t xml:space="preserve"> Amit </t>
  </si>
  <si>
    <t xml:space="preserve"> Raj Gupta </t>
  </si>
  <si>
    <t xml:space="preserve"> Sneha   Verma </t>
  </si>
  <si>
    <t xml:space="preserve">     Arjun Patel    </t>
  </si>
  <si>
    <t xml:space="preserve"> Priya     Mehta    </t>
  </si>
  <si>
    <t>Arjun Patel</t>
  </si>
  <si>
    <t>Sales Data Sales Cost</t>
  </si>
  <si>
    <t>Arjun Patel Bangalore</t>
  </si>
  <si>
    <t>Sneha@Verma@Chennai</t>
  </si>
  <si>
    <t xml:space="preserve">Excel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</si>
</sst>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5"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
      <u/>
      <sz val="11"/>
      <color theme="1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cellStyleXfs>
  <cellXfs count="98">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3" fillId="0" borderId="1" xfId="0" applyFont="1" applyBorder="1" applyAlignment="1">
      <alignment horizontal="left" indent="2"/>
    </xf>
    <xf numFmtId="0" fontId="3" fillId="0" borderId="0" xfId="0" applyFont="1" applyAlignment="1">
      <alignment horizontal="left" indent="2"/>
    </xf>
    <xf numFmtId="0" fontId="11" fillId="2" borderId="1" xfId="0" applyFont="1" applyFill="1" applyBorder="1" applyAlignment="1">
      <alignment horizontal="center" vertical="center"/>
    </xf>
    <xf numFmtId="0" fontId="6" fillId="2" borderId="0" xfId="0" applyFont="1" applyFill="1"/>
    <xf numFmtId="0" fontId="11" fillId="3" borderId="0" xfId="0" applyFont="1" applyFill="1" applyAlignment="1">
      <alignment horizontal="center" vertical="center"/>
    </xf>
    <xf numFmtId="0" fontId="12" fillId="0" borderId="0" xfId="0" applyFont="1" applyAlignment="1">
      <alignment horizontal="center"/>
    </xf>
    <xf numFmtId="0" fontId="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0" borderId="0" xfId="0" applyFont="1"/>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14" borderId="1" xfId="0" applyFont="1" applyFill="1" applyBorder="1" applyAlignment="1">
      <alignment horizontal="center"/>
    </xf>
    <xf numFmtId="0" fontId="3" fillId="2" borderId="1" xfId="0" applyFont="1" applyFill="1" applyBorder="1" applyAlignment="1">
      <alignment horizontal="center"/>
    </xf>
    <xf numFmtId="0" fontId="3" fillId="0" borderId="1" xfId="0" applyFont="1" applyBorder="1" applyAlignment="1">
      <alignment horizontal="left" indent="1"/>
    </xf>
    <xf numFmtId="0" fontId="11" fillId="15" borderId="13" xfId="0" applyFont="1" applyFill="1" applyBorder="1" applyAlignment="1">
      <alignment horizontal="center" vertical="center" wrapText="1"/>
    </xf>
    <xf numFmtId="9" fontId="11" fillId="15" borderId="0" xfId="0" applyNumberFormat="1" applyFont="1" applyFill="1"/>
    <xf numFmtId="0" fontId="2" fillId="0" borderId="1" xfId="0" applyFont="1" applyBorder="1" applyAlignment="1">
      <alignment horizontal="left"/>
    </xf>
    <xf numFmtId="0" fontId="2" fillId="0" borderId="1" xfId="0" applyFont="1" applyBorder="1" applyAlignment="1">
      <alignment horizontal="center"/>
    </xf>
    <xf numFmtId="0" fontId="6" fillId="0" borderId="0" xfId="0" applyFont="1"/>
    <xf numFmtId="0" fontId="2" fillId="0" borderId="0" xfId="0" applyFont="1"/>
    <xf numFmtId="0" fontId="6" fillId="0" borderId="1" xfId="0" quotePrefix="1" applyFont="1" applyBorder="1"/>
    <xf numFmtId="0" fontId="14" fillId="0" borderId="1" xfId="4" applyBorder="1" applyAlignment="1">
      <alignment horizont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5">
    <cellStyle name="Comma" xfId="2" builtinId="3"/>
    <cellStyle name="Comma 2" xfId="1" xr:uid="{C4252FE2-5F95-42B4-B35E-A0B3140ED354}"/>
    <cellStyle name="Hyperlink" xfId="4" builtinId="8"/>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hyperlink" Target="mailto:Sneha@Verma@Chenn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86" t="s">
        <v>0</v>
      </c>
      <c r="B1" s="86"/>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89" t="s">
        <v>0</v>
      </c>
      <c r="B1" s="90"/>
      <c r="C1" s="90"/>
      <c r="D1" s="91"/>
      <c r="F1" s="10" t="s">
        <v>33</v>
      </c>
      <c r="G1" s="10" t="s">
        <v>34</v>
      </c>
      <c r="H1" s="10" t="s">
        <v>36</v>
      </c>
    </row>
    <row r="2" spans="1:8" ht="18" x14ac:dyDescent="0.35">
      <c r="A2" s="8"/>
      <c r="B2" s="87" t="s">
        <v>7</v>
      </c>
      <c r="C2" s="88"/>
      <c r="D2" s="88"/>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89" t="s">
        <v>0</v>
      </c>
      <c r="B1" s="90"/>
    </row>
    <row r="2" spans="1:2" ht="18" x14ac:dyDescent="0.35">
      <c r="A2" s="88" t="s">
        <v>7</v>
      </c>
      <c r="B2" s="88"/>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G2" sqref="G2:G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96" t="s">
        <v>93</v>
      </c>
      <c r="G1" s="96"/>
      <c r="H1" s="96"/>
      <c r="I1" s="96"/>
      <c r="J1" s="96"/>
    </row>
    <row r="2" spans="1:10" ht="15" customHeight="1" x14ac:dyDescent="0.3">
      <c r="A2" s="15"/>
      <c r="B2" s="15" t="s">
        <v>0</v>
      </c>
      <c r="C2" s="15" t="s">
        <v>79</v>
      </c>
      <c r="F2" s="18" t="s">
        <v>33</v>
      </c>
      <c r="G2" s="18" t="s">
        <v>34</v>
      </c>
      <c r="H2" s="18" t="s">
        <v>35</v>
      </c>
      <c r="I2" s="18" t="s">
        <v>36</v>
      </c>
      <c r="J2" s="18" t="s">
        <v>37</v>
      </c>
    </row>
    <row r="3" spans="1:10" ht="14.4" customHeight="1" x14ac:dyDescent="0.3">
      <c r="A3" s="92" t="s">
        <v>91</v>
      </c>
      <c r="B3" s="93"/>
      <c r="C3" s="94"/>
      <c r="E3" s="95" t="s">
        <v>92</v>
      </c>
      <c r="F3" s="13">
        <v>10001</v>
      </c>
      <c r="G3" s="13" t="s">
        <v>85</v>
      </c>
      <c r="H3" s="13" t="s">
        <v>38</v>
      </c>
      <c r="I3" s="13">
        <v>158075</v>
      </c>
      <c r="J3" s="13" t="s">
        <v>39</v>
      </c>
    </row>
    <row r="4" spans="1:10" ht="15" customHeight="1" x14ac:dyDescent="0.3">
      <c r="A4" s="14">
        <v>1</v>
      </c>
      <c r="B4" s="16" t="s">
        <v>70</v>
      </c>
      <c r="C4" s="14"/>
      <c r="E4" s="95"/>
      <c r="F4" s="13">
        <v>10002</v>
      </c>
      <c r="G4" s="13" t="s">
        <v>40</v>
      </c>
      <c r="H4" s="13" t="s">
        <v>41</v>
      </c>
      <c r="I4" s="13">
        <v>40713</v>
      </c>
      <c r="J4" s="13" t="s">
        <v>39</v>
      </c>
    </row>
    <row r="5" spans="1:10" ht="15" customHeight="1" x14ac:dyDescent="0.3">
      <c r="A5" s="14">
        <v>2</v>
      </c>
      <c r="B5" s="16" t="s">
        <v>94</v>
      </c>
      <c r="C5" s="14"/>
      <c r="E5" s="95"/>
      <c r="F5" s="13">
        <v>10003</v>
      </c>
      <c r="G5" s="13" t="s">
        <v>42</v>
      </c>
      <c r="H5" s="13" t="s">
        <v>41</v>
      </c>
      <c r="I5" s="13">
        <v>55568</v>
      </c>
      <c r="J5" s="13" t="s">
        <v>39</v>
      </c>
    </row>
    <row r="6" spans="1:10" ht="15" customHeight="1" x14ac:dyDescent="0.3">
      <c r="A6" s="14"/>
      <c r="B6" s="16" t="s">
        <v>82</v>
      </c>
      <c r="C6" s="17" t="s">
        <v>89</v>
      </c>
      <c r="E6" s="95"/>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97" t="s">
        <v>104</v>
      </c>
      <c r="E1" s="97"/>
      <c r="F1" s="97"/>
      <c r="G1" s="97"/>
      <c r="H1" s="97"/>
      <c r="I1" t="s">
        <v>122</v>
      </c>
      <c r="O1" s="97" t="s">
        <v>113</v>
      </c>
      <c r="P1" s="97"/>
      <c r="Q1" s="97"/>
      <c r="R1" s="97"/>
      <c r="T1" s="97" t="s">
        <v>116</v>
      </c>
      <c r="U1" s="97"/>
      <c r="V1" s="97"/>
      <c r="W1" s="97"/>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topLeftCell="L1" zoomScale="115" zoomScaleNormal="115" workbookViewId="0">
      <selection activeCell="AC12" sqref="AC12"/>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workbookViewId="0">
      <selection activeCell="G1" sqref="G1:G11"/>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x14ac:dyDescent="0.35">
      <c r="A1" s="4" t="s">
        <v>0</v>
      </c>
      <c r="C1" s="52" t="s">
        <v>201</v>
      </c>
      <c r="D1" s="52" t="s">
        <v>34</v>
      </c>
      <c r="E1" s="52" t="s">
        <v>124</v>
      </c>
      <c r="F1" s="52" t="s">
        <v>126</v>
      </c>
      <c r="G1" s="52" t="s">
        <v>127</v>
      </c>
      <c r="H1" s="52" t="s">
        <v>202</v>
      </c>
    </row>
    <row r="2" spans="1:8" ht="21" x14ac:dyDescent="0.35">
      <c r="A2" s="9" t="s">
        <v>234</v>
      </c>
      <c r="C2" s="53">
        <v>106</v>
      </c>
      <c r="D2" s="53" t="s">
        <v>211</v>
      </c>
      <c r="E2" s="53" t="s">
        <v>134</v>
      </c>
      <c r="F2" s="54">
        <v>50000</v>
      </c>
      <c r="G2" s="55">
        <v>46095</v>
      </c>
      <c r="H2" s="53" t="s">
        <v>207</v>
      </c>
    </row>
    <row r="3" spans="1:8" ht="21" x14ac:dyDescent="0.35">
      <c r="A3" s="9" t="s">
        <v>235</v>
      </c>
      <c r="C3" s="53">
        <v>110</v>
      </c>
      <c r="D3" s="53" t="s">
        <v>215</v>
      </c>
      <c r="E3" s="53" t="s">
        <v>134</v>
      </c>
      <c r="F3" s="54">
        <v>52000</v>
      </c>
      <c r="G3" s="55">
        <v>46135</v>
      </c>
      <c r="H3" s="53" t="s">
        <v>204</v>
      </c>
    </row>
    <row r="4" spans="1:8" ht="21" x14ac:dyDescent="0.35">
      <c r="A4" s="9" t="s">
        <v>240</v>
      </c>
      <c r="C4" s="53">
        <v>102</v>
      </c>
      <c r="D4" s="53" t="s">
        <v>205</v>
      </c>
      <c r="E4" s="59" t="s">
        <v>134</v>
      </c>
      <c r="F4" s="54">
        <v>55000</v>
      </c>
      <c r="G4" s="55">
        <v>46055</v>
      </c>
      <c r="H4" s="53" t="s">
        <v>204</v>
      </c>
    </row>
    <row r="5" spans="1:8" ht="21" x14ac:dyDescent="0.35">
      <c r="A5" s="9" t="s">
        <v>236</v>
      </c>
      <c r="C5" s="53">
        <v>107</v>
      </c>
      <c r="D5" s="57" t="s">
        <v>212</v>
      </c>
      <c r="E5" s="53" t="s">
        <v>131</v>
      </c>
      <c r="F5" s="54">
        <v>47000</v>
      </c>
      <c r="G5" s="55">
        <v>46105</v>
      </c>
      <c r="H5" s="53" t="s">
        <v>204</v>
      </c>
    </row>
    <row r="6" spans="1:8" ht="21" x14ac:dyDescent="0.35">
      <c r="A6" s="9" t="s">
        <v>237</v>
      </c>
      <c r="C6" s="53">
        <v>101</v>
      </c>
      <c r="D6" s="57" t="s">
        <v>203</v>
      </c>
      <c r="E6" s="53" t="s">
        <v>131</v>
      </c>
      <c r="F6" s="54">
        <v>45000</v>
      </c>
      <c r="G6" s="55">
        <v>46045</v>
      </c>
      <c r="H6" s="53" t="s">
        <v>204</v>
      </c>
    </row>
    <row r="7" spans="1:8" ht="21" x14ac:dyDescent="0.35">
      <c r="A7" s="9" t="s">
        <v>241</v>
      </c>
      <c r="C7" s="53">
        <v>103</v>
      </c>
      <c r="D7" s="57" t="s">
        <v>206</v>
      </c>
      <c r="E7" s="53" t="s">
        <v>137</v>
      </c>
      <c r="F7" s="54">
        <v>70000</v>
      </c>
      <c r="G7" s="55">
        <v>46065</v>
      </c>
      <c r="H7" s="53" t="s">
        <v>207</v>
      </c>
    </row>
    <row r="8" spans="1:8" ht="21" x14ac:dyDescent="0.35">
      <c r="A8" s="9" t="s">
        <v>238</v>
      </c>
      <c r="C8" s="53">
        <v>109</v>
      </c>
      <c r="D8" s="58" t="s">
        <v>214</v>
      </c>
      <c r="E8" s="53" t="s">
        <v>137</v>
      </c>
      <c r="F8" s="54">
        <v>90000</v>
      </c>
      <c r="G8" s="55">
        <v>46125</v>
      </c>
      <c r="H8" s="53" t="s">
        <v>204</v>
      </c>
    </row>
    <row r="9" spans="1:8" ht="21" x14ac:dyDescent="0.35">
      <c r="A9" s="9" t="s">
        <v>239</v>
      </c>
      <c r="C9" s="53">
        <v>105</v>
      </c>
      <c r="D9" s="53" t="s">
        <v>210</v>
      </c>
      <c r="E9" s="59" t="s">
        <v>137</v>
      </c>
      <c r="F9" s="54">
        <v>80000</v>
      </c>
      <c r="G9" s="55">
        <v>46085</v>
      </c>
      <c r="H9" s="53" t="s">
        <v>204</v>
      </c>
    </row>
    <row r="10" spans="1:8" ht="21" x14ac:dyDescent="0.3">
      <c r="C10" s="53">
        <v>104</v>
      </c>
      <c r="D10" s="53" t="s">
        <v>208</v>
      </c>
      <c r="E10" s="59" t="s">
        <v>209</v>
      </c>
      <c r="F10" s="54">
        <v>60000</v>
      </c>
      <c r="G10" s="55">
        <v>46075</v>
      </c>
      <c r="H10" s="53" t="s">
        <v>204</v>
      </c>
    </row>
    <row r="11" spans="1:8" ht="21" x14ac:dyDescent="0.3">
      <c r="C11" s="53">
        <v>108</v>
      </c>
      <c r="D11" s="58" t="s">
        <v>213</v>
      </c>
      <c r="E11" s="53" t="s">
        <v>209</v>
      </c>
      <c r="F11" s="54">
        <v>65000</v>
      </c>
      <c r="G11" s="55">
        <v>46115</v>
      </c>
      <c r="H11" s="53" t="s">
        <v>204</v>
      </c>
    </row>
    <row r="14" spans="1:8" ht="21" x14ac:dyDescent="0.3">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053E-4516-45D4-B64A-4B120FC3884D}">
  <dimension ref="A1:G15"/>
  <sheetViews>
    <sheetView workbookViewId="0">
      <selection activeCell="C1" sqref="C1:G8"/>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12.109375" bestFit="1" customWidth="1"/>
    <col min="7" max="7" width="16.6640625" bestFit="1" customWidth="1"/>
  </cols>
  <sheetData>
    <row r="1" spans="1:7" ht="21" x14ac:dyDescent="0.35">
      <c r="A1" s="4" t="s">
        <v>0</v>
      </c>
      <c r="C1" s="64" t="s">
        <v>243</v>
      </c>
      <c r="D1" s="64" t="s">
        <v>244</v>
      </c>
      <c r="E1" s="64" t="s">
        <v>260</v>
      </c>
      <c r="F1" s="64" t="s">
        <v>106</v>
      </c>
      <c r="G1" s="64" t="s">
        <v>245</v>
      </c>
    </row>
    <row r="2" spans="1:7" ht="21" x14ac:dyDescent="0.4">
      <c r="A2" s="9" t="s">
        <v>242</v>
      </c>
      <c r="C2" s="61" t="s">
        <v>246</v>
      </c>
      <c r="D2" s="61" t="s">
        <v>247</v>
      </c>
      <c r="E2" s="61">
        <v>50</v>
      </c>
      <c r="F2" s="61">
        <v>3</v>
      </c>
      <c r="G2" s="61">
        <f>E2*F2</f>
        <v>150</v>
      </c>
    </row>
    <row r="3" spans="1:7" ht="21" x14ac:dyDescent="0.4">
      <c r="A3" s="9" t="s">
        <v>254</v>
      </c>
      <c r="C3" s="61" t="s">
        <v>246</v>
      </c>
      <c r="D3" s="61" t="s">
        <v>247</v>
      </c>
      <c r="E3" s="61">
        <v>20</v>
      </c>
      <c r="F3" s="61">
        <v>5</v>
      </c>
      <c r="G3" s="61">
        <f t="shared" ref="G3:G5" si="0">E3*F3</f>
        <v>100</v>
      </c>
    </row>
    <row r="4" spans="1:7" ht="21" x14ac:dyDescent="0.4">
      <c r="A4" s="9" t="s">
        <v>253</v>
      </c>
      <c r="C4" s="61" t="s">
        <v>246</v>
      </c>
      <c r="D4" s="61" t="s">
        <v>247</v>
      </c>
      <c r="E4" s="61">
        <v>30</v>
      </c>
      <c r="F4" s="61">
        <v>4</v>
      </c>
      <c r="G4" s="61">
        <f t="shared" si="0"/>
        <v>120</v>
      </c>
    </row>
    <row r="5" spans="1:7" ht="21" x14ac:dyDescent="0.4">
      <c r="A5" s="9" t="s">
        <v>255</v>
      </c>
      <c r="C5" s="61" t="s">
        <v>252</v>
      </c>
      <c r="D5" s="61" t="s">
        <v>247</v>
      </c>
      <c r="E5" s="61">
        <v>20</v>
      </c>
      <c r="F5" s="61">
        <v>2</v>
      </c>
      <c r="G5" s="61">
        <f t="shared" si="0"/>
        <v>40</v>
      </c>
    </row>
    <row r="6" spans="1:7" ht="21" x14ac:dyDescent="0.4">
      <c r="A6" s="62" t="s">
        <v>258</v>
      </c>
      <c r="C6" s="61" t="s">
        <v>246</v>
      </c>
      <c r="D6" s="61" t="s">
        <v>247</v>
      </c>
      <c r="E6" s="61">
        <v>60</v>
      </c>
      <c r="F6" s="61">
        <v>3</v>
      </c>
      <c r="G6" s="61">
        <f>E6*F6</f>
        <v>180</v>
      </c>
    </row>
    <row r="7" spans="1:7" ht="21" x14ac:dyDescent="0.4">
      <c r="A7" s="62" t="s">
        <v>256</v>
      </c>
      <c r="C7" s="61" t="s">
        <v>249</v>
      </c>
      <c r="D7" s="61" t="s">
        <v>250</v>
      </c>
      <c r="E7" s="61">
        <v>20</v>
      </c>
      <c r="F7" s="61">
        <v>4</v>
      </c>
      <c r="G7" s="61">
        <f t="shared" ref="G7:G8" si="1">E7*F7</f>
        <v>80</v>
      </c>
    </row>
    <row r="8" spans="1:7" ht="21" x14ac:dyDescent="0.4">
      <c r="A8" s="62" t="s">
        <v>257</v>
      </c>
      <c r="C8" s="61" t="s">
        <v>252</v>
      </c>
      <c r="D8" s="61" t="s">
        <v>247</v>
      </c>
      <c r="E8" s="61">
        <v>30</v>
      </c>
      <c r="F8" s="61">
        <v>2</v>
      </c>
      <c r="G8" s="61">
        <f t="shared" si="1"/>
        <v>60</v>
      </c>
    </row>
    <row r="11" spans="1:7" ht="18" x14ac:dyDescent="0.35">
      <c r="A11" s="63" t="s">
        <v>259</v>
      </c>
    </row>
    <row r="15" spans="1:7" ht="18" x14ac:dyDescent="0.35">
      <c r="A15" s="63" t="s">
        <v>259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1A8-E055-4561-966C-8E1AADD87637}">
  <dimension ref="A1:S15"/>
  <sheetViews>
    <sheetView zoomScale="115" zoomScaleNormal="115" workbookViewId="0">
      <selection sqref="A1:A2"/>
    </sheetView>
  </sheetViews>
  <sheetFormatPr defaultRowHeight="14.4" x14ac:dyDescent="0.3"/>
  <cols>
    <col min="1" max="1" width="31.33203125" bestFit="1" customWidth="1"/>
    <col min="4" max="4" width="10.88671875" bestFit="1" customWidth="1"/>
    <col min="5" max="5" width="13.44140625" bestFit="1" customWidth="1"/>
    <col min="6" max="6" width="7.44140625" bestFit="1" customWidth="1"/>
    <col min="7" max="7" width="12.109375" bestFit="1" customWidth="1"/>
    <col min="8" max="8" width="7.5546875" bestFit="1" customWidth="1"/>
    <col min="13" max="13" width="11.5546875" bestFit="1" customWidth="1"/>
    <col min="14" max="14" width="11.77734375" bestFit="1" customWidth="1"/>
    <col min="15" max="15" width="9.21875" bestFit="1" customWidth="1"/>
    <col min="18" max="18" width="12.77734375" customWidth="1"/>
    <col min="19" max="19" width="8.88671875" customWidth="1"/>
  </cols>
  <sheetData>
    <row r="1" spans="1:19" ht="18" x14ac:dyDescent="0.35">
      <c r="A1" s="4" t="s">
        <v>0</v>
      </c>
    </row>
    <row r="2" spans="1:19" ht="18" x14ac:dyDescent="0.35">
      <c r="A2" s="9" t="s">
        <v>262</v>
      </c>
      <c r="D2" s="65" t="s">
        <v>261</v>
      </c>
      <c r="E2" s="65"/>
      <c r="F2" s="65"/>
      <c r="G2" s="65"/>
      <c r="H2" s="65"/>
      <c r="L2" s="65" t="s">
        <v>263</v>
      </c>
      <c r="M2" s="65"/>
      <c r="N2" s="65"/>
      <c r="O2" s="65"/>
      <c r="R2" s="65" t="s">
        <v>267</v>
      </c>
      <c r="S2" s="65"/>
    </row>
    <row r="3" spans="1:19" ht="21" x14ac:dyDescent="0.3">
      <c r="D3" s="52" t="s">
        <v>243</v>
      </c>
      <c r="E3" s="52" t="s">
        <v>244</v>
      </c>
      <c r="F3" s="52" t="s">
        <v>107</v>
      </c>
      <c r="G3" s="52" t="s">
        <v>106</v>
      </c>
      <c r="H3" s="52" t="s">
        <v>245</v>
      </c>
      <c r="L3" s="52" t="s">
        <v>264</v>
      </c>
      <c r="M3" s="52" t="s">
        <v>265</v>
      </c>
      <c r="N3" s="52" t="s">
        <v>266</v>
      </c>
      <c r="O3" s="52" t="s">
        <v>116</v>
      </c>
      <c r="R3" s="52" t="s">
        <v>107</v>
      </c>
      <c r="S3" s="52"/>
    </row>
    <row r="4" spans="1:19" ht="21" x14ac:dyDescent="0.4">
      <c r="D4" s="61" t="s">
        <v>246</v>
      </c>
      <c r="E4" s="61" t="s">
        <v>247</v>
      </c>
      <c r="F4" s="61">
        <v>50</v>
      </c>
      <c r="G4" s="61">
        <v>3</v>
      </c>
      <c r="H4" s="61">
        <f>F4*G4</f>
        <v>150</v>
      </c>
      <c r="I4">
        <f>G4*H4</f>
        <v>450</v>
      </c>
      <c r="K4">
        <v>2</v>
      </c>
      <c r="L4" s="61">
        <v>90</v>
      </c>
      <c r="M4" s="61">
        <v>30</v>
      </c>
      <c r="N4" s="61">
        <v>100</v>
      </c>
      <c r="O4" s="61">
        <v>25</v>
      </c>
      <c r="R4" s="61">
        <v>20</v>
      </c>
      <c r="S4" s="61"/>
    </row>
    <row r="5" spans="1:19" ht="21" x14ac:dyDescent="0.4">
      <c r="D5" s="61" t="s">
        <v>248</v>
      </c>
      <c r="E5" s="61" t="s">
        <v>247</v>
      </c>
      <c r="F5" s="61">
        <v>20</v>
      </c>
      <c r="G5" s="61">
        <v>5</v>
      </c>
      <c r="H5" s="61">
        <f t="shared" ref="H5:H8" si="0">F5*G5</f>
        <v>100</v>
      </c>
      <c r="L5" s="61">
        <v>70</v>
      </c>
      <c r="M5" s="61">
        <v>40</v>
      </c>
      <c r="N5" s="61">
        <v>120</v>
      </c>
      <c r="O5" s="61">
        <v>30</v>
      </c>
      <c r="R5" s="61">
        <v>60</v>
      </c>
      <c r="S5" s="61">
        <v>60</v>
      </c>
    </row>
    <row r="6" spans="1:19" ht="21" x14ac:dyDescent="0.4">
      <c r="D6" s="61" t="s">
        <v>249</v>
      </c>
      <c r="E6" s="61" t="s">
        <v>250</v>
      </c>
      <c r="F6" s="61">
        <v>30</v>
      </c>
      <c r="G6" s="61">
        <v>4</v>
      </c>
      <c r="H6" s="61">
        <f t="shared" si="0"/>
        <v>120</v>
      </c>
      <c r="L6" s="61">
        <v>80</v>
      </c>
      <c r="M6" s="61">
        <v>50</v>
      </c>
      <c r="N6" s="61">
        <v>140</v>
      </c>
      <c r="O6" s="61">
        <v>35</v>
      </c>
      <c r="R6" s="61">
        <v>30</v>
      </c>
      <c r="S6" s="61"/>
    </row>
    <row r="7" spans="1:19" ht="21" x14ac:dyDescent="0.4">
      <c r="D7" s="61" t="s">
        <v>251</v>
      </c>
      <c r="E7" s="61" t="s">
        <v>250</v>
      </c>
      <c r="F7" s="61">
        <v>25</v>
      </c>
      <c r="G7" s="61">
        <v>6</v>
      </c>
      <c r="H7" s="61">
        <f t="shared" si="0"/>
        <v>150</v>
      </c>
      <c r="L7" s="61">
        <v>90</v>
      </c>
      <c r="M7" s="61">
        <v>60</v>
      </c>
      <c r="N7" s="61">
        <v>160</v>
      </c>
      <c r="O7" s="61">
        <v>40</v>
      </c>
      <c r="R7" s="61">
        <v>80</v>
      </c>
      <c r="S7" s="61">
        <v>80</v>
      </c>
    </row>
    <row r="8" spans="1:19" ht="21" x14ac:dyDescent="0.4">
      <c r="D8" s="61" t="s">
        <v>252</v>
      </c>
      <c r="E8" s="61" t="s">
        <v>247</v>
      </c>
      <c r="F8" s="61">
        <v>60</v>
      </c>
      <c r="G8" s="61">
        <v>2</v>
      </c>
      <c r="H8" s="61">
        <f t="shared" si="0"/>
        <v>120</v>
      </c>
      <c r="L8" s="61">
        <v>100</v>
      </c>
      <c r="M8" s="61">
        <v>70</v>
      </c>
      <c r="N8" s="61">
        <v>180</v>
      </c>
      <c r="O8" s="61">
        <v>45</v>
      </c>
      <c r="R8" s="61">
        <v>35</v>
      </c>
      <c r="S8" s="61"/>
    </row>
    <row r="9" spans="1:19" ht="21" x14ac:dyDescent="0.4">
      <c r="R9" s="61">
        <v>20</v>
      </c>
      <c r="S9" s="61"/>
    </row>
    <row r="10" spans="1:19" ht="21" x14ac:dyDescent="0.4">
      <c r="D10" s="66" t="s">
        <v>243</v>
      </c>
      <c r="E10" s="66" t="s">
        <v>244</v>
      </c>
      <c r="F10" s="66" t="s">
        <v>107</v>
      </c>
      <c r="G10" s="66" t="s">
        <v>106</v>
      </c>
      <c r="H10" s="66" t="s">
        <v>245</v>
      </c>
      <c r="L10" s="52" t="str">
        <f t="shared" ref="L10:O15" si="1">L3</f>
        <v>Add</v>
      </c>
      <c r="M10" s="52" t="str">
        <f t="shared" si="1"/>
        <v>Subtract</v>
      </c>
      <c r="N10" s="52" t="str">
        <f t="shared" si="1"/>
        <v>Multiply</v>
      </c>
      <c r="O10" s="52" t="str">
        <f t="shared" si="1"/>
        <v>Divide</v>
      </c>
      <c r="R10" s="61">
        <v>55</v>
      </c>
      <c r="S10" s="61">
        <v>55</v>
      </c>
    </row>
    <row r="11" spans="1:19" ht="21" x14ac:dyDescent="0.4">
      <c r="D11" s="67" t="s">
        <v>246</v>
      </c>
      <c r="E11" s="67" t="s">
        <v>247</v>
      </c>
      <c r="F11" s="67">
        <v>50</v>
      </c>
      <c r="G11" s="67">
        <v>3</v>
      </c>
      <c r="H11" s="67">
        <f>F11*G11</f>
        <v>150</v>
      </c>
      <c r="L11" s="61">
        <f t="shared" si="1"/>
        <v>90</v>
      </c>
      <c r="M11" s="61">
        <f t="shared" si="1"/>
        <v>30</v>
      </c>
      <c r="N11" s="61">
        <f t="shared" si="1"/>
        <v>100</v>
      </c>
      <c r="O11" s="61">
        <f t="shared" si="1"/>
        <v>25</v>
      </c>
      <c r="R11" s="61">
        <v>30</v>
      </c>
      <c r="S11" s="61"/>
    </row>
    <row r="12" spans="1:19" ht="21" x14ac:dyDescent="0.4">
      <c r="D12" s="67" t="s">
        <v>248</v>
      </c>
      <c r="E12" s="67" t="s">
        <v>247</v>
      </c>
      <c r="F12" s="67">
        <v>20</v>
      </c>
      <c r="G12" s="67">
        <v>5</v>
      </c>
      <c r="H12" s="67">
        <f t="shared" ref="H12:H15" si="2">F12*G12</f>
        <v>100</v>
      </c>
      <c r="L12" s="61">
        <f t="shared" si="1"/>
        <v>70</v>
      </c>
      <c r="M12" s="61">
        <f t="shared" si="1"/>
        <v>40</v>
      </c>
      <c r="N12" s="61">
        <f t="shared" si="1"/>
        <v>120</v>
      </c>
      <c r="O12" s="61">
        <f t="shared" si="1"/>
        <v>30</v>
      </c>
      <c r="R12" s="61">
        <v>53</v>
      </c>
      <c r="S12" s="61">
        <v>53</v>
      </c>
    </row>
    <row r="13" spans="1:19" ht="21" x14ac:dyDescent="0.4">
      <c r="D13" s="67" t="s">
        <v>249</v>
      </c>
      <c r="E13" s="67" t="s">
        <v>250</v>
      </c>
      <c r="F13" s="67">
        <v>30</v>
      </c>
      <c r="G13" s="67">
        <v>4</v>
      </c>
      <c r="H13" s="67">
        <f t="shared" si="2"/>
        <v>120</v>
      </c>
      <c r="L13" s="61">
        <f t="shared" si="1"/>
        <v>80</v>
      </c>
      <c r="M13" s="61">
        <f t="shared" si="1"/>
        <v>50</v>
      </c>
      <c r="N13" s="61">
        <f t="shared" si="1"/>
        <v>140</v>
      </c>
      <c r="O13" s="61">
        <f t="shared" si="1"/>
        <v>35</v>
      </c>
      <c r="R13" s="61">
        <v>85</v>
      </c>
      <c r="S13" s="61"/>
    </row>
    <row r="14" spans="1:19" ht="21" x14ac:dyDescent="0.4">
      <c r="D14" s="67" t="s">
        <v>251</v>
      </c>
      <c r="E14" s="67" t="s">
        <v>250</v>
      </c>
      <c r="F14" s="67">
        <v>25</v>
      </c>
      <c r="G14" s="67">
        <v>6</v>
      </c>
      <c r="H14" s="67">
        <f t="shared" si="2"/>
        <v>150</v>
      </c>
      <c r="L14" s="61">
        <f t="shared" si="1"/>
        <v>90</v>
      </c>
      <c r="M14" s="61">
        <f t="shared" si="1"/>
        <v>60</v>
      </c>
      <c r="N14" s="61">
        <f t="shared" si="1"/>
        <v>160</v>
      </c>
      <c r="O14" s="61">
        <f t="shared" si="1"/>
        <v>40</v>
      </c>
    </row>
    <row r="15" spans="1:19" ht="21" x14ac:dyDescent="0.4">
      <c r="D15" s="67" t="s">
        <v>252</v>
      </c>
      <c r="E15" s="67" t="s">
        <v>247</v>
      </c>
      <c r="F15" s="67">
        <v>60</v>
      </c>
      <c r="G15" s="67">
        <v>2</v>
      </c>
      <c r="H15" s="67">
        <f t="shared" si="2"/>
        <v>120</v>
      </c>
      <c r="L15" s="61">
        <f t="shared" si="1"/>
        <v>100</v>
      </c>
      <c r="M15" s="61">
        <f t="shared" si="1"/>
        <v>70</v>
      </c>
      <c r="N15" s="61">
        <f t="shared" si="1"/>
        <v>180</v>
      </c>
      <c r="O15" s="61">
        <f t="shared" si="1"/>
        <v>45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4B77-0E22-4B40-B386-D89CB913F17D}">
  <dimension ref="A1:T15"/>
  <sheetViews>
    <sheetView topLeftCell="O1" workbookViewId="0">
      <selection activeCell="AI1" sqref="AI1"/>
    </sheetView>
  </sheetViews>
  <sheetFormatPr defaultRowHeight="18" x14ac:dyDescent="0.35"/>
  <cols>
    <col min="1" max="1" width="56.44140625" style="72" bestFit="1" customWidth="1"/>
    <col min="2" max="2" width="8.88671875" style="72"/>
    <col min="3" max="3" width="9.33203125" style="72" bestFit="1" customWidth="1"/>
    <col min="4" max="4" width="6.6640625" style="72" bestFit="1" customWidth="1"/>
    <col min="5" max="5" width="9.109375" style="72" bestFit="1" customWidth="1"/>
    <col min="6" max="6" width="8.44140625" style="72" bestFit="1" customWidth="1"/>
    <col min="7" max="7" width="8.6640625" style="72" bestFit="1" customWidth="1"/>
    <col min="8" max="8" width="7.88671875" style="72" customWidth="1"/>
    <col min="9" max="9" width="9.77734375" style="72" bestFit="1" customWidth="1"/>
    <col min="10" max="10" width="11.88671875" style="72" bestFit="1" customWidth="1"/>
    <col min="11" max="11" width="11.44140625" style="72" bestFit="1" customWidth="1"/>
    <col min="12" max="12" width="12.44140625" style="72" bestFit="1" customWidth="1"/>
    <col min="13" max="17" width="8.88671875" style="72"/>
    <col min="18" max="18" width="14.5546875" style="72" customWidth="1"/>
    <col min="19" max="20" width="12.44140625" style="72" bestFit="1" customWidth="1"/>
    <col min="21" max="16384" width="8.88671875" style="72"/>
  </cols>
  <sheetData>
    <row r="1" spans="1:20" x14ac:dyDescent="0.35">
      <c r="A1" s="4" t="s">
        <v>0</v>
      </c>
    </row>
    <row r="2" spans="1:20" ht="24.6" customHeight="1" x14ac:dyDescent="0.35">
      <c r="A2" s="80" t="s">
        <v>304</v>
      </c>
      <c r="C2" s="73" t="s">
        <v>273</v>
      </c>
      <c r="D2" s="73" t="s">
        <v>97</v>
      </c>
      <c r="E2" s="73" t="s">
        <v>98</v>
      </c>
      <c r="F2" s="73" t="s">
        <v>99</v>
      </c>
      <c r="G2" s="73" t="s">
        <v>274</v>
      </c>
      <c r="H2" s="74" t="s">
        <v>104</v>
      </c>
      <c r="I2" s="74" t="s">
        <v>138</v>
      </c>
      <c r="J2" s="74" t="s">
        <v>280</v>
      </c>
      <c r="K2" s="74" t="s">
        <v>281</v>
      </c>
      <c r="M2" s="73" t="s">
        <v>98</v>
      </c>
      <c r="N2" s="73" t="s">
        <v>99</v>
      </c>
      <c r="O2" s="73" t="s">
        <v>274</v>
      </c>
      <c r="P2" s="74" t="s">
        <v>270</v>
      </c>
      <c r="Q2" s="74" t="s">
        <v>271</v>
      </c>
      <c r="R2" s="74" t="s">
        <v>272</v>
      </c>
      <c r="S2" s="74" t="s">
        <v>282</v>
      </c>
      <c r="T2" s="74" t="s">
        <v>282</v>
      </c>
    </row>
    <row r="3" spans="1:20" x14ac:dyDescent="0.35">
      <c r="A3" s="77" t="s">
        <v>104</v>
      </c>
      <c r="C3" s="68" t="s">
        <v>92</v>
      </c>
      <c r="D3" s="68">
        <v>78</v>
      </c>
      <c r="E3" s="68">
        <v>65</v>
      </c>
      <c r="F3" s="68">
        <v>82</v>
      </c>
      <c r="G3" s="68">
        <v>74</v>
      </c>
      <c r="H3" s="68">
        <f>SUM(D3:G3)</f>
        <v>299</v>
      </c>
      <c r="I3" s="68">
        <f>AVERAGE(D3:G3)</f>
        <v>74.75</v>
      </c>
      <c r="J3" s="68">
        <f>MAX(D3:G3)</f>
        <v>82</v>
      </c>
      <c r="K3" s="68">
        <f>MIN(D3:G3)</f>
        <v>65</v>
      </c>
      <c r="M3" s="68" t="s">
        <v>287</v>
      </c>
      <c r="N3" s="68">
        <v>2333</v>
      </c>
      <c r="O3" s="68">
        <v>876</v>
      </c>
      <c r="P3" s="68">
        <f>COUNT(M3:O3)</f>
        <v>2</v>
      </c>
      <c r="Q3" s="68">
        <f>COUNTA(M3:O3)</f>
        <v>3</v>
      </c>
      <c r="R3" s="68">
        <f>COUNTBLANK(M3:O3)</f>
        <v>0</v>
      </c>
      <c r="S3" s="68">
        <f>Q3-P3</f>
        <v>1</v>
      </c>
      <c r="T3" s="68">
        <f>COUNTA(M3:O3)-COUNT(M3:O3)</f>
        <v>1</v>
      </c>
    </row>
    <row r="4" spans="1:20" x14ac:dyDescent="0.35">
      <c r="A4" s="77" t="s">
        <v>138</v>
      </c>
      <c r="C4" s="68" t="s">
        <v>275</v>
      </c>
      <c r="D4" s="68">
        <v>55</v>
      </c>
      <c r="E4" s="68">
        <v>72</v>
      </c>
      <c r="F4" s="68">
        <v>68</v>
      </c>
      <c r="G4" s="68">
        <v>80</v>
      </c>
      <c r="H4" s="68">
        <f t="shared" ref="H4:H8" si="0">SUM(D4:G4)</f>
        <v>275</v>
      </c>
      <c r="I4" s="68">
        <f t="shared" ref="I4:I8" si="1">AVERAGE(D4:G4)</f>
        <v>68.75</v>
      </c>
      <c r="J4" s="68">
        <f t="shared" ref="J4:J8" si="2">MAX(D4:G4)</f>
        <v>80</v>
      </c>
      <c r="K4" s="68">
        <f t="shared" ref="K4:K8" si="3">MIN(D4:G4)</f>
        <v>55</v>
      </c>
      <c r="M4" s="68">
        <v>10</v>
      </c>
      <c r="N4" s="68">
        <v>0</v>
      </c>
      <c r="O4" s="68">
        <v>30</v>
      </c>
      <c r="P4" s="68">
        <f t="shared" ref="P4:P15" si="4">COUNT(M4:O4)</f>
        <v>3</v>
      </c>
      <c r="Q4" s="68">
        <f t="shared" ref="Q4:Q15" si="5">COUNTA(M4:O4)</f>
        <v>3</v>
      </c>
      <c r="R4" s="68">
        <f t="shared" ref="R4:R15" si="6">COUNTBLANK(M4:O4)</f>
        <v>0</v>
      </c>
      <c r="S4" s="68">
        <f t="shared" ref="S4:S15" si="7">Q4-P4</f>
        <v>0</v>
      </c>
      <c r="T4" s="68">
        <f t="shared" ref="T4:T15" si="8">COUNTA(M4:O4)-COUNT(M4:O4)</f>
        <v>0</v>
      </c>
    </row>
    <row r="5" spans="1:20" x14ac:dyDescent="0.35">
      <c r="A5" s="77" t="s">
        <v>268</v>
      </c>
      <c r="C5" s="68" t="s">
        <v>276</v>
      </c>
      <c r="D5" s="68">
        <v>91</v>
      </c>
      <c r="E5" s="68">
        <v>88</v>
      </c>
      <c r="F5" s="68">
        <v>76</v>
      </c>
      <c r="G5" s="68">
        <v>69</v>
      </c>
      <c r="H5" s="68">
        <f t="shared" si="0"/>
        <v>324</v>
      </c>
      <c r="I5" s="68">
        <f t="shared" si="1"/>
        <v>81</v>
      </c>
      <c r="J5" s="68">
        <f t="shared" si="2"/>
        <v>91</v>
      </c>
      <c r="K5" s="68">
        <f t="shared" si="3"/>
        <v>69</v>
      </c>
      <c r="M5" s="68">
        <v>10</v>
      </c>
      <c r="N5" s="68">
        <v>-20</v>
      </c>
      <c r="O5" s="68">
        <v>30</v>
      </c>
      <c r="P5" s="68">
        <f t="shared" si="4"/>
        <v>3</v>
      </c>
      <c r="Q5" s="68">
        <f t="shared" si="5"/>
        <v>3</v>
      </c>
      <c r="R5" s="68">
        <f t="shared" si="6"/>
        <v>0</v>
      </c>
      <c r="S5" s="68">
        <f t="shared" si="7"/>
        <v>0</v>
      </c>
      <c r="T5" s="68">
        <f t="shared" si="8"/>
        <v>0</v>
      </c>
    </row>
    <row r="6" spans="1:20" x14ac:dyDescent="0.35">
      <c r="A6" s="77" t="s">
        <v>269</v>
      </c>
      <c r="C6" s="68" t="s">
        <v>277</v>
      </c>
      <c r="D6" s="68">
        <v>63</v>
      </c>
      <c r="E6" s="68">
        <v>59</v>
      </c>
      <c r="F6" s="68">
        <v>84</v>
      </c>
      <c r="G6" s="68">
        <v>77</v>
      </c>
      <c r="H6" s="68">
        <f t="shared" si="0"/>
        <v>283</v>
      </c>
      <c r="I6" s="68">
        <f t="shared" si="1"/>
        <v>70.75</v>
      </c>
      <c r="J6" s="68">
        <f t="shared" si="2"/>
        <v>84</v>
      </c>
      <c r="K6" s="68">
        <f t="shared" si="3"/>
        <v>59</v>
      </c>
      <c r="M6" s="68">
        <v>10</v>
      </c>
      <c r="N6" s="68" t="s">
        <v>288</v>
      </c>
      <c r="O6" s="68">
        <v>30</v>
      </c>
      <c r="P6" s="68">
        <f t="shared" si="4"/>
        <v>2</v>
      </c>
      <c r="Q6" s="68">
        <f t="shared" si="5"/>
        <v>3</v>
      </c>
      <c r="R6" s="68">
        <f t="shared" si="6"/>
        <v>0</v>
      </c>
      <c r="S6" s="68">
        <f t="shared" si="7"/>
        <v>1</v>
      </c>
      <c r="T6" s="68">
        <f t="shared" si="8"/>
        <v>1</v>
      </c>
    </row>
    <row r="7" spans="1:20" x14ac:dyDescent="0.35">
      <c r="A7" s="77" t="s">
        <v>283</v>
      </c>
      <c r="C7" s="68" t="s">
        <v>278</v>
      </c>
      <c r="D7" s="68">
        <v>85</v>
      </c>
      <c r="E7" s="68">
        <v>93</v>
      </c>
      <c r="F7" s="68">
        <v>71</v>
      </c>
      <c r="G7" s="68">
        <v>88</v>
      </c>
      <c r="H7" s="68">
        <f t="shared" si="0"/>
        <v>337</v>
      </c>
      <c r="I7" s="68">
        <f t="shared" si="1"/>
        <v>84.25</v>
      </c>
      <c r="J7" s="68">
        <f t="shared" si="2"/>
        <v>93</v>
      </c>
      <c r="K7" s="68">
        <f t="shared" si="3"/>
        <v>71</v>
      </c>
      <c r="M7" s="68">
        <v>10</v>
      </c>
      <c r="N7" s="68">
        <v>0.89583333333333337</v>
      </c>
      <c r="O7" s="68">
        <v>30</v>
      </c>
      <c r="P7" s="68">
        <f t="shared" si="4"/>
        <v>3</v>
      </c>
      <c r="Q7" s="68">
        <f t="shared" si="5"/>
        <v>3</v>
      </c>
      <c r="R7" s="68">
        <f t="shared" si="6"/>
        <v>0</v>
      </c>
      <c r="S7" s="68">
        <f t="shared" si="7"/>
        <v>0</v>
      </c>
      <c r="T7" s="68">
        <f t="shared" si="8"/>
        <v>0</v>
      </c>
    </row>
    <row r="8" spans="1:20" x14ac:dyDescent="0.35">
      <c r="A8" s="77" t="s">
        <v>284</v>
      </c>
      <c r="C8" s="68" t="s">
        <v>279</v>
      </c>
      <c r="D8" s="68">
        <v>70</v>
      </c>
      <c r="E8" s="68">
        <v>81</v>
      </c>
      <c r="F8" s="68">
        <v>79</v>
      </c>
      <c r="G8" s="68">
        <v>66</v>
      </c>
      <c r="H8" s="68">
        <f t="shared" si="0"/>
        <v>296</v>
      </c>
      <c r="I8" s="68">
        <f t="shared" si="1"/>
        <v>74</v>
      </c>
      <c r="J8" s="68">
        <f t="shared" si="2"/>
        <v>81</v>
      </c>
      <c r="K8" s="68">
        <f t="shared" si="3"/>
        <v>66</v>
      </c>
      <c r="M8" s="68">
        <v>10</v>
      </c>
      <c r="N8" s="68" t="s">
        <v>289</v>
      </c>
      <c r="O8" s="68" t="s">
        <v>290</v>
      </c>
      <c r="P8" s="68">
        <f t="shared" si="4"/>
        <v>1</v>
      </c>
      <c r="Q8" s="68">
        <f t="shared" si="5"/>
        <v>3</v>
      </c>
      <c r="R8" s="68">
        <f t="shared" si="6"/>
        <v>0</v>
      </c>
      <c r="S8" s="68">
        <f t="shared" si="7"/>
        <v>2</v>
      </c>
      <c r="T8" s="68">
        <f t="shared" si="8"/>
        <v>2</v>
      </c>
    </row>
    <row r="9" spans="1:20" x14ac:dyDescent="0.35">
      <c r="A9" s="77" t="s">
        <v>285</v>
      </c>
      <c r="M9" s="68">
        <v>10</v>
      </c>
      <c r="N9" s="68" t="s">
        <v>288</v>
      </c>
      <c r="O9" s="68">
        <v>30</v>
      </c>
      <c r="P9" s="68">
        <f t="shared" si="4"/>
        <v>2</v>
      </c>
      <c r="Q9" s="68">
        <f t="shared" si="5"/>
        <v>3</v>
      </c>
      <c r="R9" s="68">
        <f t="shared" si="6"/>
        <v>0</v>
      </c>
      <c r="S9" s="68">
        <f t="shared" si="7"/>
        <v>1</v>
      </c>
      <c r="T9" s="68">
        <f t="shared" si="8"/>
        <v>1</v>
      </c>
    </row>
    <row r="10" spans="1:20" x14ac:dyDescent="0.35">
      <c r="A10" s="77" t="s">
        <v>286</v>
      </c>
      <c r="M10" s="68">
        <v>10</v>
      </c>
      <c r="N10" s="68" t="s">
        <v>291</v>
      </c>
      <c r="O10" s="68"/>
      <c r="P10" s="68">
        <f t="shared" si="4"/>
        <v>1</v>
      </c>
      <c r="Q10" s="68">
        <f t="shared" si="5"/>
        <v>2</v>
      </c>
      <c r="R10" s="68">
        <f t="shared" si="6"/>
        <v>1</v>
      </c>
      <c r="S10" s="68">
        <f t="shared" si="7"/>
        <v>1</v>
      </c>
      <c r="T10" s="68">
        <f t="shared" si="8"/>
        <v>1</v>
      </c>
    </row>
    <row r="11" spans="1:20" x14ac:dyDescent="0.35">
      <c r="M11" s="68">
        <v>10</v>
      </c>
      <c r="N11" s="68">
        <v>788</v>
      </c>
      <c r="O11" s="68"/>
      <c r="P11" s="68">
        <f t="shared" si="4"/>
        <v>2</v>
      </c>
      <c r="Q11" s="68">
        <f t="shared" si="5"/>
        <v>2</v>
      </c>
      <c r="R11" s="68">
        <f t="shared" si="6"/>
        <v>1</v>
      </c>
      <c r="S11" s="68">
        <f t="shared" si="7"/>
        <v>0</v>
      </c>
      <c r="T11" s="68">
        <f t="shared" si="8"/>
        <v>0</v>
      </c>
    </row>
    <row r="12" spans="1:20" x14ac:dyDescent="0.35">
      <c r="M12" s="68" t="s">
        <v>292</v>
      </c>
      <c r="N12" s="68"/>
      <c r="O12" s="68"/>
      <c r="P12" s="68">
        <f>COUNT(M12:O12)</f>
        <v>0</v>
      </c>
      <c r="Q12" s="68">
        <f t="shared" si="5"/>
        <v>1</v>
      </c>
      <c r="R12" s="68">
        <f t="shared" si="6"/>
        <v>2</v>
      </c>
      <c r="S12" s="68">
        <f t="shared" si="7"/>
        <v>1</v>
      </c>
      <c r="T12" s="68">
        <f t="shared" si="8"/>
        <v>1</v>
      </c>
    </row>
    <row r="13" spans="1:20" x14ac:dyDescent="0.35">
      <c r="M13" s="68" t="s">
        <v>292</v>
      </c>
      <c r="N13" s="68">
        <v>8</v>
      </c>
      <c r="O13" s="68"/>
      <c r="P13" s="68">
        <f t="shared" si="4"/>
        <v>1</v>
      </c>
      <c r="Q13" s="68">
        <f t="shared" si="5"/>
        <v>2</v>
      </c>
      <c r="R13" s="68">
        <f t="shared" si="6"/>
        <v>1</v>
      </c>
      <c r="S13" s="68">
        <f t="shared" si="7"/>
        <v>1</v>
      </c>
      <c r="T13" s="68">
        <f t="shared" si="8"/>
        <v>1</v>
      </c>
    </row>
    <row r="14" spans="1:20" x14ac:dyDescent="0.35">
      <c r="M14" s="68" t="s">
        <v>292</v>
      </c>
      <c r="N14" s="68">
        <v>7</v>
      </c>
      <c r="O14" s="68" t="s">
        <v>92</v>
      </c>
      <c r="P14" s="68">
        <f t="shared" si="4"/>
        <v>1</v>
      </c>
      <c r="Q14" s="68">
        <f t="shared" si="5"/>
        <v>3</v>
      </c>
      <c r="R14" s="68">
        <f t="shared" si="6"/>
        <v>0</v>
      </c>
      <c r="S14" s="68">
        <f t="shared" si="7"/>
        <v>2</v>
      </c>
      <c r="T14" s="68">
        <f t="shared" si="8"/>
        <v>2</v>
      </c>
    </row>
    <row r="15" spans="1:20" x14ac:dyDescent="0.35">
      <c r="M15" s="68" t="s">
        <v>292</v>
      </c>
      <c r="N15" s="68" t="s">
        <v>292</v>
      </c>
      <c r="O15" s="68"/>
      <c r="P15" s="68">
        <f t="shared" si="4"/>
        <v>0</v>
      </c>
      <c r="Q15" s="68">
        <f t="shared" si="5"/>
        <v>2</v>
      </c>
      <c r="R15" s="68">
        <f t="shared" si="6"/>
        <v>1</v>
      </c>
      <c r="S15" s="68">
        <f t="shared" si="7"/>
        <v>2</v>
      </c>
      <c r="T15" s="68">
        <f t="shared" si="8"/>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20EC0-5C09-4675-A313-35055D4593B9}">
  <dimension ref="A1:L18"/>
  <sheetViews>
    <sheetView workbookViewId="0">
      <selection activeCell="C2" sqref="C2"/>
    </sheetView>
  </sheetViews>
  <sheetFormatPr defaultRowHeight="14.4" x14ac:dyDescent="0.3"/>
  <cols>
    <col min="1" max="1" width="61.109375" bestFit="1" customWidth="1"/>
    <col min="3" max="3" width="13.109375" bestFit="1" customWidth="1"/>
    <col min="4" max="4" width="7.44140625" bestFit="1" customWidth="1"/>
    <col min="5" max="5" width="12.109375" bestFit="1" customWidth="1"/>
    <col min="6" max="6" width="7.5546875" bestFit="1" customWidth="1"/>
    <col min="8" max="8" width="15.109375" customWidth="1"/>
    <col min="10" max="10" width="14.44140625" customWidth="1"/>
    <col min="12" max="12" width="19.44140625" customWidth="1"/>
  </cols>
  <sheetData>
    <row r="1" spans="1:12" ht="21" x14ac:dyDescent="0.4">
      <c r="A1" s="4" t="s">
        <v>0</v>
      </c>
      <c r="J1" s="78" t="s">
        <v>293</v>
      </c>
      <c r="K1" s="79">
        <v>0.1</v>
      </c>
    </row>
    <row r="2" spans="1:12" ht="25.2" customHeight="1" x14ac:dyDescent="0.35">
      <c r="A2" s="9" t="s">
        <v>302</v>
      </c>
      <c r="C2" s="70" t="s">
        <v>105</v>
      </c>
      <c r="D2" s="70" t="s">
        <v>107</v>
      </c>
      <c r="E2" s="70" t="s">
        <v>106</v>
      </c>
      <c r="F2" s="71" t="s">
        <v>245</v>
      </c>
      <c r="H2" s="70" t="s">
        <v>105</v>
      </c>
      <c r="I2" s="70" t="s">
        <v>107</v>
      </c>
      <c r="J2" s="70" t="s">
        <v>106</v>
      </c>
      <c r="K2" s="71" t="s">
        <v>245</v>
      </c>
      <c r="L2" s="71" t="s">
        <v>303</v>
      </c>
    </row>
    <row r="3" spans="1:12" ht="21" x14ac:dyDescent="0.35">
      <c r="A3" s="77" t="s">
        <v>299</v>
      </c>
      <c r="C3" s="69" t="s">
        <v>294</v>
      </c>
      <c r="D3" s="69">
        <v>10</v>
      </c>
      <c r="E3" s="69">
        <v>5</v>
      </c>
      <c r="F3" s="69">
        <f>D3*E3</f>
        <v>50</v>
      </c>
      <c r="H3" s="69" t="s">
        <v>294</v>
      </c>
      <c r="I3" s="69">
        <v>10</v>
      </c>
      <c r="J3" s="69">
        <v>5</v>
      </c>
      <c r="K3" s="69">
        <f>I3*J3</f>
        <v>50</v>
      </c>
      <c r="L3" s="69">
        <f>K3*$K$1</f>
        <v>5</v>
      </c>
    </row>
    <row r="4" spans="1:12" ht="17.399999999999999" customHeight="1" x14ac:dyDescent="0.35">
      <c r="A4" s="77" t="s">
        <v>300</v>
      </c>
      <c r="C4" s="69" t="s">
        <v>295</v>
      </c>
      <c r="D4" s="69">
        <v>25</v>
      </c>
      <c r="E4" s="69">
        <v>2</v>
      </c>
      <c r="F4" s="69">
        <f>D4*E4</f>
        <v>50</v>
      </c>
      <c r="H4" s="69" t="s">
        <v>295</v>
      </c>
      <c r="I4" s="69">
        <v>25</v>
      </c>
      <c r="J4" s="69">
        <v>2</v>
      </c>
      <c r="K4" s="69">
        <f t="shared" ref="K4:K7" si="0">I4*J4</f>
        <v>50</v>
      </c>
      <c r="L4" s="69">
        <f>K4*$K$1</f>
        <v>5</v>
      </c>
    </row>
    <row r="5" spans="1:12" ht="18" customHeight="1" x14ac:dyDescent="0.35">
      <c r="A5" s="77" t="s">
        <v>301</v>
      </c>
      <c r="C5" s="69" t="s">
        <v>296</v>
      </c>
      <c r="D5" s="69">
        <v>5</v>
      </c>
      <c r="E5" s="69">
        <v>10</v>
      </c>
      <c r="F5" s="69">
        <f>D5*E5</f>
        <v>50</v>
      </c>
      <c r="H5" s="69" t="s">
        <v>296</v>
      </c>
      <c r="I5" s="69">
        <v>5</v>
      </c>
      <c r="J5" s="69">
        <v>10</v>
      </c>
      <c r="K5" s="69">
        <f t="shared" si="0"/>
        <v>50</v>
      </c>
      <c r="L5" s="69">
        <f>K5*$K$1</f>
        <v>5</v>
      </c>
    </row>
    <row r="6" spans="1:12" ht="18" customHeight="1" x14ac:dyDescent="0.3">
      <c r="C6" s="69" t="s">
        <v>297</v>
      </c>
      <c r="D6" s="69">
        <v>15</v>
      </c>
      <c r="E6" s="69">
        <v>3</v>
      </c>
      <c r="F6" s="69">
        <f t="shared" ref="F6:F7" si="1">D6*E6</f>
        <v>45</v>
      </c>
      <c r="H6" s="69" t="s">
        <v>297</v>
      </c>
      <c r="I6" s="69">
        <v>15</v>
      </c>
      <c r="J6" s="69">
        <v>3</v>
      </c>
      <c r="K6" s="69">
        <f t="shared" si="0"/>
        <v>45</v>
      </c>
      <c r="L6" s="69">
        <f>K6*$K$1</f>
        <v>4.5</v>
      </c>
    </row>
    <row r="7" spans="1:12" ht="21" x14ac:dyDescent="0.3">
      <c r="C7" s="69" t="s">
        <v>298</v>
      </c>
      <c r="D7" s="69">
        <v>20</v>
      </c>
      <c r="E7" s="69">
        <v>4</v>
      </c>
      <c r="F7" s="69">
        <f t="shared" si="1"/>
        <v>80</v>
      </c>
      <c r="H7" s="69" t="s">
        <v>298</v>
      </c>
      <c r="I7" s="69">
        <v>20</v>
      </c>
      <c r="J7" s="69">
        <v>4</v>
      </c>
      <c r="K7" s="69">
        <f t="shared" si="0"/>
        <v>80</v>
      </c>
      <c r="L7" s="69">
        <f t="shared" ref="L7" si="2">K7*$K$1</f>
        <v>8</v>
      </c>
    </row>
    <row r="9" spans="1:12" ht="18" x14ac:dyDescent="0.35">
      <c r="D9" s="8"/>
      <c r="E9" s="8"/>
      <c r="F9" s="8"/>
      <c r="G9" s="8"/>
      <c r="H9" s="8"/>
      <c r="I9" s="8"/>
      <c r="J9" s="8"/>
    </row>
    <row r="10" spans="1:12" ht="18" x14ac:dyDescent="0.35">
      <c r="C10" s="8">
        <v>50</v>
      </c>
      <c r="D10" s="75">
        <v>0</v>
      </c>
      <c r="E10" s="75">
        <v>1</v>
      </c>
      <c r="F10" s="75">
        <v>2</v>
      </c>
      <c r="G10" s="75">
        <v>3</v>
      </c>
      <c r="H10" s="75">
        <v>4</v>
      </c>
      <c r="I10" s="75">
        <v>5</v>
      </c>
      <c r="J10" s="75">
        <v>6</v>
      </c>
    </row>
    <row r="11" spans="1:12" ht="18" x14ac:dyDescent="0.35">
      <c r="C11" s="75">
        <v>100</v>
      </c>
      <c r="D11" s="76">
        <f>$C11+D$10+$C$10</f>
        <v>150</v>
      </c>
      <c r="E11" s="76">
        <f t="shared" ref="E11:J18" si="3">$C11+E$10+$C$10</f>
        <v>151</v>
      </c>
      <c r="F11" s="76">
        <f t="shared" si="3"/>
        <v>152</v>
      </c>
      <c r="G11" s="76">
        <f t="shared" si="3"/>
        <v>153</v>
      </c>
      <c r="H11" s="76">
        <f t="shared" si="3"/>
        <v>154</v>
      </c>
      <c r="I11" s="76">
        <f t="shared" si="3"/>
        <v>155</v>
      </c>
      <c r="J11" s="76">
        <f t="shared" si="3"/>
        <v>156</v>
      </c>
    </row>
    <row r="12" spans="1:12" ht="18" x14ac:dyDescent="0.35">
      <c r="C12" s="75">
        <v>200</v>
      </c>
      <c r="D12" s="76">
        <f t="shared" ref="D12:D18" si="4">$C12+D$10+$C$10</f>
        <v>250</v>
      </c>
      <c r="E12" s="76">
        <f t="shared" si="3"/>
        <v>251</v>
      </c>
      <c r="F12" s="76">
        <f t="shared" si="3"/>
        <v>252</v>
      </c>
      <c r="G12" s="76">
        <f t="shared" si="3"/>
        <v>253</v>
      </c>
      <c r="H12" s="76">
        <f t="shared" si="3"/>
        <v>254</v>
      </c>
      <c r="I12" s="76">
        <f t="shared" si="3"/>
        <v>255</v>
      </c>
      <c r="J12" s="76">
        <f t="shared" si="3"/>
        <v>256</v>
      </c>
    </row>
    <row r="13" spans="1:12" ht="18" x14ac:dyDescent="0.35">
      <c r="C13" s="75">
        <v>300</v>
      </c>
      <c r="D13" s="76">
        <f t="shared" si="4"/>
        <v>350</v>
      </c>
      <c r="E13" s="76">
        <f t="shared" si="3"/>
        <v>351</v>
      </c>
      <c r="F13" s="76">
        <f t="shared" si="3"/>
        <v>352</v>
      </c>
      <c r="G13" s="76">
        <f t="shared" si="3"/>
        <v>353</v>
      </c>
      <c r="H13" s="76">
        <f t="shared" si="3"/>
        <v>354</v>
      </c>
      <c r="I13" s="76">
        <f t="shared" si="3"/>
        <v>355</v>
      </c>
      <c r="J13" s="76">
        <f t="shared" si="3"/>
        <v>356</v>
      </c>
    </row>
    <row r="14" spans="1:12" ht="18" x14ac:dyDescent="0.35">
      <c r="C14" s="75">
        <v>400</v>
      </c>
      <c r="D14" s="76">
        <f t="shared" si="4"/>
        <v>450</v>
      </c>
      <c r="E14" s="76">
        <f t="shared" si="3"/>
        <v>451</v>
      </c>
      <c r="F14" s="76">
        <f t="shared" si="3"/>
        <v>452</v>
      </c>
      <c r="G14" s="76">
        <f t="shared" si="3"/>
        <v>453</v>
      </c>
      <c r="H14" s="76">
        <f t="shared" si="3"/>
        <v>454</v>
      </c>
      <c r="I14" s="76">
        <f t="shared" si="3"/>
        <v>455</v>
      </c>
      <c r="J14" s="76">
        <f t="shared" si="3"/>
        <v>456</v>
      </c>
    </row>
    <row r="15" spans="1:12" ht="18" x14ac:dyDescent="0.35">
      <c r="C15" s="75">
        <v>500</v>
      </c>
      <c r="D15" s="76">
        <f t="shared" si="4"/>
        <v>550</v>
      </c>
      <c r="E15" s="76">
        <f t="shared" si="3"/>
        <v>551</v>
      </c>
      <c r="F15" s="76">
        <f t="shared" si="3"/>
        <v>552</v>
      </c>
      <c r="G15" s="76">
        <f t="shared" si="3"/>
        <v>553</v>
      </c>
      <c r="H15" s="76">
        <f t="shared" si="3"/>
        <v>554</v>
      </c>
      <c r="I15" s="76">
        <f t="shared" si="3"/>
        <v>555</v>
      </c>
      <c r="J15" s="76">
        <f t="shared" si="3"/>
        <v>556</v>
      </c>
    </row>
    <row r="16" spans="1:12" ht="18" x14ac:dyDescent="0.35">
      <c r="C16" s="75">
        <v>600</v>
      </c>
      <c r="D16" s="76">
        <f t="shared" si="4"/>
        <v>650</v>
      </c>
      <c r="E16" s="76">
        <f t="shared" si="3"/>
        <v>651</v>
      </c>
      <c r="F16" s="76">
        <f t="shared" si="3"/>
        <v>652</v>
      </c>
      <c r="G16" s="76">
        <f t="shared" si="3"/>
        <v>653</v>
      </c>
      <c r="H16" s="76">
        <f t="shared" si="3"/>
        <v>654</v>
      </c>
      <c r="I16" s="76">
        <f t="shared" si="3"/>
        <v>655</v>
      </c>
      <c r="J16" s="76">
        <f t="shared" si="3"/>
        <v>656</v>
      </c>
    </row>
    <row r="17" spans="3:10" ht="18" x14ac:dyDescent="0.35">
      <c r="C17" s="75">
        <v>700</v>
      </c>
      <c r="D17" s="76">
        <f t="shared" si="4"/>
        <v>750</v>
      </c>
      <c r="E17" s="76">
        <f t="shared" si="3"/>
        <v>751</v>
      </c>
      <c r="F17" s="76">
        <f t="shared" si="3"/>
        <v>752</v>
      </c>
      <c r="G17" s="76">
        <f t="shared" si="3"/>
        <v>753</v>
      </c>
      <c r="H17" s="76">
        <f t="shared" si="3"/>
        <v>754</v>
      </c>
      <c r="I17" s="76">
        <f t="shared" si="3"/>
        <v>755</v>
      </c>
      <c r="J17" s="76">
        <f t="shared" si="3"/>
        <v>756</v>
      </c>
    </row>
    <row r="18" spans="3:10" ht="18" x14ac:dyDescent="0.35">
      <c r="C18" s="75">
        <v>800</v>
      </c>
      <c r="D18" s="76">
        <f t="shared" si="4"/>
        <v>850</v>
      </c>
      <c r="E18" s="76">
        <f t="shared" si="3"/>
        <v>851</v>
      </c>
      <c r="F18" s="76">
        <f t="shared" si="3"/>
        <v>852</v>
      </c>
      <c r="G18" s="76">
        <f t="shared" si="3"/>
        <v>853</v>
      </c>
      <c r="H18" s="76">
        <f t="shared" si="3"/>
        <v>854</v>
      </c>
      <c r="I18" s="76">
        <f t="shared" si="3"/>
        <v>855</v>
      </c>
      <c r="J18" s="76">
        <f t="shared" si="3"/>
        <v>856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46E9-1F2E-4BF6-81BB-051654E28754}">
  <dimension ref="A1:AJ18"/>
  <sheetViews>
    <sheetView tabSelected="1" workbookViewId="0"/>
  </sheetViews>
  <sheetFormatPr defaultRowHeight="14.4" x14ac:dyDescent="0.3"/>
  <cols>
    <col min="1" max="1" width="31.33203125" bestFit="1" customWidth="1"/>
    <col min="4" max="4" width="12.5546875" bestFit="1" customWidth="1"/>
    <col min="5" max="5" width="12.109375" bestFit="1" customWidth="1"/>
    <col min="6" max="7" width="19.33203125" customWidth="1"/>
    <col min="10" max="13" width="17.88671875" customWidth="1"/>
    <col min="16" max="16" width="22.33203125" customWidth="1"/>
    <col min="17" max="17" width="22.21875" bestFit="1" customWidth="1"/>
    <col min="18" max="18" width="14.6640625" customWidth="1"/>
    <col min="20" max="20" width="16" customWidth="1"/>
    <col min="21" max="21" width="23.5546875" bestFit="1" customWidth="1"/>
    <col min="22" max="22" width="22.21875" bestFit="1" customWidth="1"/>
    <col min="23" max="23" width="22.88671875" bestFit="1" customWidth="1"/>
    <col min="26" max="26" width="24.109375" bestFit="1" customWidth="1"/>
    <col min="27" max="28" width="20.6640625" bestFit="1" customWidth="1"/>
    <col min="29" max="29" width="25.21875" bestFit="1" customWidth="1"/>
    <col min="30" max="30" width="21.88671875" bestFit="1" customWidth="1"/>
    <col min="31" max="31" width="31.21875" bestFit="1" customWidth="1"/>
    <col min="32" max="32" width="12.33203125" customWidth="1"/>
    <col min="33" max="33" width="13.88671875" bestFit="1" customWidth="1"/>
    <col min="34" max="36" width="12.33203125" customWidth="1"/>
  </cols>
  <sheetData>
    <row r="1" spans="1:36" ht="18" x14ac:dyDescent="0.35">
      <c r="A1" s="4" t="s">
        <v>0</v>
      </c>
      <c r="D1" s="81"/>
      <c r="E1" s="81"/>
      <c r="F1" s="81" t="s">
        <v>330</v>
      </c>
      <c r="G1" s="81" t="s">
        <v>331</v>
      </c>
      <c r="P1" s="82" t="s">
        <v>351</v>
      </c>
      <c r="U1" s="8" t="s">
        <v>360</v>
      </c>
      <c r="Z1" s="83" t="s">
        <v>374</v>
      </c>
    </row>
    <row r="2" spans="1:36" ht="22.2" customHeight="1" x14ac:dyDescent="0.35">
      <c r="A2" s="80" t="s">
        <v>305</v>
      </c>
      <c r="D2" s="73" t="s">
        <v>315</v>
      </c>
      <c r="E2" s="73" t="s">
        <v>316</v>
      </c>
      <c r="F2" s="4" t="s">
        <v>329</v>
      </c>
      <c r="G2" s="4" t="s">
        <v>329</v>
      </c>
      <c r="J2" s="73" t="s">
        <v>332</v>
      </c>
      <c r="K2" s="4" t="s">
        <v>341</v>
      </c>
      <c r="L2" s="4" t="s">
        <v>342</v>
      </c>
      <c r="M2" s="4" t="s">
        <v>343</v>
      </c>
      <c r="P2" s="73" t="s">
        <v>347</v>
      </c>
      <c r="Q2" s="4" t="s">
        <v>350</v>
      </c>
      <c r="U2" s="73" t="s">
        <v>352</v>
      </c>
      <c r="V2" s="73" t="s">
        <v>353</v>
      </c>
      <c r="W2" s="4" t="s">
        <v>317</v>
      </c>
      <c r="Z2" s="73" t="s">
        <v>347</v>
      </c>
      <c r="AA2" s="4" t="s">
        <v>370</v>
      </c>
      <c r="AB2" s="4" t="s">
        <v>370</v>
      </c>
      <c r="AC2" s="4" t="s">
        <v>370</v>
      </c>
      <c r="AE2" s="73" t="s">
        <v>383</v>
      </c>
      <c r="AF2" s="4" t="s">
        <v>378</v>
      </c>
      <c r="AG2" s="4" t="s">
        <v>380</v>
      </c>
      <c r="AH2" s="4" t="s">
        <v>381</v>
      </c>
      <c r="AI2" s="4" t="s">
        <v>312</v>
      </c>
      <c r="AJ2" s="4" t="s">
        <v>313</v>
      </c>
    </row>
    <row r="3" spans="1:36" ht="22.2" customHeight="1" x14ac:dyDescent="0.35">
      <c r="A3" s="77" t="s">
        <v>309</v>
      </c>
      <c r="D3" s="2" t="s">
        <v>102</v>
      </c>
      <c r="E3" s="2" t="s">
        <v>318</v>
      </c>
      <c r="F3" s="81" t="str">
        <f>CONCATENATE(D3," ",E3)</f>
        <v>Amit Sharma</v>
      </c>
      <c r="G3" s="81" t="str">
        <f>D3&amp;" "&amp;E3</f>
        <v>Amit Sharma</v>
      </c>
      <c r="J3" s="2" t="s">
        <v>333</v>
      </c>
      <c r="K3" s="56" t="str">
        <f>LOWER(J3)</f>
        <v>amit sharma</v>
      </c>
      <c r="L3" s="56" t="str">
        <f>UPPER(J3)</f>
        <v>AMIT SHARMA</v>
      </c>
      <c r="M3" s="56" t="str">
        <f>PROPER(J3)</f>
        <v>Amit Sharma</v>
      </c>
      <c r="P3" s="2" t="s">
        <v>384</v>
      </c>
      <c r="Q3" s="56" t="str">
        <f>TRIM(P3)</f>
        <v>Amit</v>
      </c>
      <c r="R3" t="s">
        <v>102</v>
      </c>
      <c r="U3" s="2" t="s">
        <v>354</v>
      </c>
      <c r="V3" s="2" t="s">
        <v>355</v>
      </c>
      <c r="W3" s="2" t="str">
        <f>SUBSTITUTE(U3,"Sales","Cost")</f>
        <v>Cost Data</v>
      </c>
      <c r="Z3" s="2" t="s">
        <v>371</v>
      </c>
      <c r="AA3" s="2" t="str" cm="1">
        <f t="array" ref="AA3:AC3">_xlfn.TEXTSPLIT(Z3,",")</f>
        <v>Amit</v>
      </c>
      <c r="AB3" s="2" t="str">
        <v>Sharma</v>
      </c>
      <c r="AC3" s="2" t="str">
        <v>Delhi</v>
      </c>
      <c r="AE3" s="2" t="s">
        <v>382</v>
      </c>
      <c r="AF3" s="4" t="str">
        <f>LEFT(AE3,6)</f>
        <v xml:space="preserve">Excel </v>
      </c>
      <c r="AG3" s="4" t="str">
        <f>RIGHT(AE3,10)</f>
        <v>Amit Kumar</v>
      </c>
      <c r="AH3" s="4" t="str">
        <f>MID(AE3,7,8)</f>
        <v>Tutorial</v>
      </c>
      <c r="AI3" s="4">
        <f>FIND("By",AE3)</f>
        <v>16</v>
      </c>
      <c r="AJ3" s="4">
        <f>SEARCH("by",AE3)</f>
        <v>16</v>
      </c>
    </row>
    <row r="4" spans="1:36" ht="18" x14ac:dyDescent="0.35">
      <c r="A4" s="77" t="s">
        <v>310</v>
      </c>
      <c r="D4" s="2" t="s">
        <v>101</v>
      </c>
      <c r="E4" s="2" t="s">
        <v>319</v>
      </c>
      <c r="F4" s="81" t="str">
        <f t="shared" ref="F4:F7" si="0">CONCATENATE(D4," ",E4)</f>
        <v>Priya Mehta</v>
      </c>
      <c r="G4" s="81" t="str">
        <f t="shared" ref="G4:G7" si="1">D4&amp;" "&amp;E4</f>
        <v>Priya Mehta</v>
      </c>
      <c r="J4" s="2" t="s">
        <v>334</v>
      </c>
      <c r="K4" s="56" t="str">
        <f t="shared" ref="K4:K7" si="2">LOWER(J4)</f>
        <v>priya mehta</v>
      </c>
      <c r="L4" s="56" t="str">
        <f t="shared" ref="L4:L7" si="3">UPPER(J4)</f>
        <v>PRIYA MEHTA</v>
      </c>
      <c r="M4" s="56" t="str">
        <f t="shared" ref="M4:M7" si="4">PROPER(J4)</f>
        <v>Priya Mehta</v>
      </c>
      <c r="P4" s="2" t="s">
        <v>388</v>
      </c>
      <c r="Q4" s="56" t="str">
        <f t="shared" ref="Q4:Q7" si="5">TRIM(P4)</f>
        <v>Priya Mehta</v>
      </c>
      <c r="R4" t="s">
        <v>335</v>
      </c>
      <c r="U4" s="2" t="s">
        <v>356</v>
      </c>
      <c r="V4" s="2" t="s">
        <v>357</v>
      </c>
      <c r="W4" s="2" t="str">
        <f t="shared" ref="W4" si="6">SUBSTITUTE(U4,"Sales","Cost")</f>
        <v>Cost Data Cost</v>
      </c>
      <c r="Z4" s="2" t="s">
        <v>372</v>
      </c>
      <c r="AA4" s="2" t="str" cm="1">
        <f t="array" ref="AA4:AC4">_xlfn.TEXTSPLIT(Z4,",")</f>
        <v>Priya</v>
      </c>
      <c r="AB4" s="2" t="str">
        <v>Mehta</v>
      </c>
      <c r="AC4" s="2" t="str">
        <v>Mumbai</v>
      </c>
      <c r="AF4" t="s">
        <v>393</v>
      </c>
    </row>
    <row r="5" spans="1:36" ht="18" x14ac:dyDescent="0.35">
      <c r="A5" s="77" t="s">
        <v>308</v>
      </c>
      <c r="D5" s="2" t="s">
        <v>321</v>
      </c>
      <c r="E5" s="2" t="s">
        <v>322</v>
      </c>
      <c r="F5" s="81" t="str">
        <f t="shared" si="0"/>
        <v>Raj Gupta</v>
      </c>
      <c r="G5" s="81" t="str">
        <f t="shared" si="1"/>
        <v>Raj Gupta</v>
      </c>
      <c r="J5" s="2" t="s">
        <v>336</v>
      </c>
      <c r="K5" s="56" t="str">
        <f t="shared" si="2"/>
        <v>raj gupta</v>
      </c>
      <c r="L5" s="56" t="str">
        <f t="shared" si="3"/>
        <v>RAJ GUPTA</v>
      </c>
      <c r="M5" s="56" t="str">
        <f t="shared" si="4"/>
        <v>Raj Gupta</v>
      </c>
      <c r="P5" s="2" t="s">
        <v>385</v>
      </c>
      <c r="Q5" s="56" t="str">
        <f t="shared" si="5"/>
        <v>Raj Gupta</v>
      </c>
      <c r="R5" t="s">
        <v>337</v>
      </c>
      <c r="U5" s="2" t="s">
        <v>356</v>
      </c>
      <c r="V5" s="2" t="s">
        <v>358</v>
      </c>
      <c r="W5" s="2" t="str">
        <f>SUBSTITUTE(U5,"Sales","Cost",2)</f>
        <v>Sales Data Cost</v>
      </c>
      <c r="Z5" s="2" t="s">
        <v>373</v>
      </c>
      <c r="AA5" s="2" t="str" cm="1">
        <f t="array" ref="AA5:AC5">_xlfn.TEXTSPLIT(Z5,",")</f>
        <v>Raj</v>
      </c>
      <c r="AB5" s="2" t="str">
        <v>Gupta</v>
      </c>
      <c r="AC5" s="2" t="str">
        <v>Kolkata</v>
      </c>
      <c r="AE5">
        <v>5</v>
      </c>
    </row>
    <row r="6" spans="1:36" ht="18" x14ac:dyDescent="0.35">
      <c r="A6" s="77" t="s">
        <v>311</v>
      </c>
      <c r="D6" s="2" t="s">
        <v>324</v>
      </c>
      <c r="E6" s="2" t="s">
        <v>179</v>
      </c>
      <c r="F6" s="81" t="str">
        <f t="shared" si="0"/>
        <v>Sneha Verma</v>
      </c>
      <c r="G6" s="81" t="str">
        <f t="shared" si="1"/>
        <v>Sneha Verma</v>
      </c>
      <c r="J6" s="2" t="s">
        <v>338</v>
      </c>
      <c r="K6" s="56" t="str">
        <f t="shared" si="2"/>
        <v>sneha verma</v>
      </c>
      <c r="L6" s="56" t="str">
        <f t="shared" si="3"/>
        <v>SNEHA VERMA</v>
      </c>
      <c r="M6" s="56" t="str">
        <f t="shared" si="4"/>
        <v>Sneha Verma</v>
      </c>
      <c r="P6" s="2" t="s">
        <v>386</v>
      </c>
      <c r="Q6" s="56" t="str">
        <f t="shared" si="5"/>
        <v>Sneha Verma</v>
      </c>
      <c r="R6" t="s">
        <v>339</v>
      </c>
      <c r="U6" s="2" t="s">
        <v>359</v>
      </c>
      <c r="V6" s="2" t="s">
        <v>390</v>
      </c>
      <c r="W6" s="2" t="str">
        <f>SUBSTITUTE(U6,"Sales","Cost",3)</f>
        <v>Sales Data Sales Cost</v>
      </c>
      <c r="Z6" s="85" t="s">
        <v>392</v>
      </c>
      <c r="AA6" s="2" t="str" cm="1">
        <f t="array" ref="AA6:AC6">_xlfn.TEXTSPLIT(Z6,"@")</f>
        <v>Sneha</v>
      </c>
      <c r="AB6" s="2" t="str">
        <v>Verma</v>
      </c>
      <c r="AC6" s="2" t="str">
        <v>Chennai</v>
      </c>
      <c r="AE6">
        <v>1</v>
      </c>
    </row>
    <row r="7" spans="1:36" ht="18" x14ac:dyDescent="0.35">
      <c r="A7" s="77" t="s">
        <v>306</v>
      </c>
      <c r="D7" s="2" t="s">
        <v>326</v>
      </c>
      <c r="E7" s="2" t="s">
        <v>327</v>
      </c>
      <c r="F7" s="81" t="str">
        <f t="shared" si="0"/>
        <v>Arjun Patel</v>
      </c>
      <c r="G7" s="81" t="str">
        <f t="shared" si="1"/>
        <v>Arjun Patel</v>
      </c>
      <c r="J7" s="2" t="s">
        <v>340</v>
      </c>
      <c r="K7" s="56" t="str">
        <f t="shared" si="2"/>
        <v>arjun patel</v>
      </c>
      <c r="L7" s="56" t="str">
        <f t="shared" si="3"/>
        <v>ARJUN PATEL</v>
      </c>
      <c r="M7" s="56" t="str">
        <f t="shared" si="4"/>
        <v>Arjun Patel</v>
      </c>
      <c r="P7" s="2" t="s">
        <v>387</v>
      </c>
      <c r="Q7" s="56" t="str">
        <f t="shared" si="5"/>
        <v>Arjun Patel</v>
      </c>
      <c r="R7" t="s">
        <v>389</v>
      </c>
      <c r="Z7" s="2" t="s">
        <v>391</v>
      </c>
      <c r="AA7" s="2" t="str" cm="1">
        <f t="array" ref="AA7:AC7">_xlfn.TEXTSPLIT(Z7," ")</f>
        <v>Arjun</v>
      </c>
      <c r="AB7" s="2" t="str">
        <v>Patel</v>
      </c>
      <c r="AC7" s="2" t="str">
        <v>Bangalore</v>
      </c>
      <c r="AE7">
        <v>8</v>
      </c>
    </row>
    <row r="8" spans="1:36" ht="18" x14ac:dyDescent="0.35">
      <c r="A8" s="77" t="s">
        <v>307</v>
      </c>
      <c r="U8" s="84" t="s">
        <v>361</v>
      </c>
      <c r="V8" s="56"/>
      <c r="W8" s="56"/>
      <c r="AE8">
        <v>1</v>
      </c>
    </row>
    <row r="9" spans="1:36" ht="18" x14ac:dyDescent="0.35">
      <c r="A9" s="77" t="s">
        <v>314</v>
      </c>
      <c r="U9" s="56" t="s">
        <v>362</v>
      </c>
      <c r="V9" s="56" t="s">
        <v>363</v>
      </c>
      <c r="W9" s="56"/>
    </row>
    <row r="10" spans="1:36" ht="18" x14ac:dyDescent="0.35">
      <c r="A10" s="77" t="s">
        <v>376</v>
      </c>
      <c r="U10" s="56" t="s">
        <v>364</v>
      </c>
      <c r="V10" s="56" t="s">
        <v>365</v>
      </c>
      <c r="W10" s="56"/>
    </row>
    <row r="11" spans="1:36" ht="18" x14ac:dyDescent="0.35">
      <c r="A11" s="77" t="s">
        <v>377</v>
      </c>
      <c r="J11" s="73" t="s">
        <v>347</v>
      </c>
      <c r="K11" s="4" t="s">
        <v>348</v>
      </c>
      <c r="P11" s="83" t="s">
        <v>345</v>
      </c>
      <c r="U11" s="56" t="s">
        <v>366</v>
      </c>
      <c r="V11" s="56" t="s">
        <v>367</v>
      </c>
      <c r="W11" s="56"/>
      <c r="Z11" s="83" t="s">
        <v>375</v>
      </c>
    </row>
    <row r="12" spans="1:36" ht="18" x14ac:dyDescent="0.35">
      <c r="A12" s="77" t="s">
        <v>379</v>
      </c>
      <c r="J12" s="2" t="s">
        <v>102</v>
      </c>
      <c r="K12" s="56">
        <f>LEN(J12)</f>
        <v>4</v>
      </c>
      <c r="P12" s="2"/>
      <c r="Q12" s="2"/>
      <c r="R12" s="4" t="s">
        <v>346</v>
      </c>
      <c r="S12" s="4" t="s">
        <v>311</v>
      </c>
      <c r="U12" s="56" t="s">
        <v>368</v>
      </c>
      <c r="V12" s="56" t="s">
        <v>369</v>
      </c>
      <c r="W12" s="56"/>
      <c r="Z12" s="73" t="s">
        <v>347</v>
      </c>
      <c r="AA12" s="73" t="s">
        <v>347</v>
      </c>
      <c r="AB12" s="73" t="s">
        <v>347</v>
      </c>
      <c r="AC12" s="4" t="s">
        <v>317</v>
      </c>
    </row>
    <row r="13" spans="1:36" ht="18" x14ac:dyDescent="0.35">
      <c r="A13" s="77" t="s">
        <v>312</v>
      </c>
      <c r="J13" s="2" t="s">
        <v>335</v>
      </c>
      <c r="K13" s="56">
        <f t="shared" ref="K13:K16" si="7">LEN(J13)</f>
        <v>11</v>
      </c>
      <c r="P13" s="2" t="s">
        <v>49</v>
      </c>
      <c r="Q13" s="2" t="s">
        <v>344</v>
      </c>
      <c r="R13" s="2" t="b">
        <f>P13=Q13</f>
        <v>1</v>
      </c>
      <c r="S13" s="2" t="b">
        <f>EXACT(P13,Q13)</f>
        <v>0</v>
      </c>
      <c r="Z13" s="2" t="s">
        <v>102</v>
      </c>
      <c r="AA13" s="2" t="s">
        <v>318</v>
      </c>
      <c r="AB13" s="2" t="s">
        <v>49</v>
      </c>
      <c r="AC13" s="2" t="str">
        <f>_xlfn.TEXTJOIN(", ",TRUE,Z13,AA13,AB13)</f>
        <v>Amit, Sharma, Delhi</v>
      </c>
    </row>
    <row r="14" spans="1:36" ht="18" x14ac:dyDescent="0.35">
      <c r="A14" s="77" t="s">
        <v>313</v>
      </c>
      <c r="J14" s="2" t="s">
        <v>337</v>
      </c>
      <c r="K14" s="56">
        <f t="shared" si="7"/>
        <v>9</v>
      </c>
      <c r="Z14" s="2" t="s">
        <v>101</v>
      </c>
      <c r="AA14" s="2" t="s">
        <v>319</v>
      </c>
      <c r="AB14" s="2" t="s">
        <v>320</v>
      </c>
      <c r="AC14" s="2" t="str">
        <f t="shared" ref="AC14:AC17" si="8">_xlfn.TEXTJOIN(", ",TRUE,Z14,AA14,AB14)</f>
        <v>Priya, Mehta, Mumbai</v>
      </c>
    </row>
    <row r="15" spans="1:36" ht="18" x14ac:dyDescent="0.35">
      <c r="A15" s="77"/>
      <c r="J15" s="2" t="s">
        <v>339</v>
      </c>
      <c r="K15" s="56">
        <f t="shared" si="7"/>
        <v>11</v>
      </c>
      <c r="Z15" s="2" t="s">
        <v>321</v>
      </c>
      <c r="AA15" s="2" t="s">
        <v>322</v>
      </c>
      <c r="AB15" s="2" t="s">
        <v>323</v>
      </c>
      <c r="AC15" s="2" t="str">
        <f t="shared" si="8"/>
        <v>Raj, Gupta, Kolkata</v>
      </c>
    </row>
    <row r="16" spans="1:36" ht="18" x14ac:dyDescent="0.35">
      <c r="A16" s="77"/>
      <c r="J16" s="2" t="s">
        <v>349</v>
      </c>
      <c r="K16" s="56">
        <f t="shared" si="7"/>
        <v>15</v>
      </c>
      <c r="Z16" s="2" t="s">
        <v>324</v>
      </c>
      <c r="AA16" s="2" t="s">
        <v>179</v>
      </c>
      <c r="AB16" s="2" t="s">
        <v>325</v>
      </c>
      <c r="AC16" s="2" t="str">
        <f t="shared" si="8"/>
        <v>Sneha, Verma, Chennai</v>
      </c>
    </row>
    <row r="17" spans="1:29" ht="18" x14ac:dyDescent="0.35">
      <c r="A17" s="77"/>
      <c r="Z17" s="2" t="s">
        <v>326</v>
      </c>
      <c r="AA17" s="2" t="s">
        <v>327</v>
      </c>
      <c r="AB17" s="2" t="s">
        <v>328</v>
      </c>
      <c r="AC17" s="2" t="str">
        <f t="shared" si="8"/>
        <v>Arjun, Patel, Bangalore</v>
      </c>
    </row>
    <row r="18" spans="1:29" ht="18" x14ac:dyDescent="0.35">
      <c r="A18" s="77"/>
    </row>
  </sheetData>
  <hyperlinks>
    <hyperlink ref="Z6" r:id="rId1" xr:uid="{48E1502F-D5E1-4EAE-A8E3-A30DB5F908B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E53-84F2-46DB-8C6E-ABCC9A300181}">
  <dimension ref="B1:G11"/>
  <sheetViews>
    <sheetView workbookViewId="0">
      <selection activeCell="D2" sqref="D2"/>
    </sheetView>
  </sheetViews>
  <sheetFormatPr defaultRowHeight="14.4" x14ac:dyDescent="0.3"/>
  <cols>
    <col min="2" max="2" width="17.109375" bestFit="1" customWidth="1"/>
    <col min="3" max="3" width="16.88671875" bestFit="1" customWidth="1"/>
    <col min="4" max="4" width="16.44140625" bestFit="1" customWidth="1"/>
    <col min="5" max="5" width="9.77734375" bestFit="1" customWidth="1"/>
    <col min="6" max="6" width="16.6640625" bestFit="1" customWidth="1"/>
    <col min="7" max="7" width="12.21875" bestFit="1" customWidth="1"/>
  </cols>
  <sheetData>
    <row r="1" spans="2:7" ht="21" x14ac:dyDescent="0.3">
      <c r="B1" s="52" t="s">
        <v>201</v>
      </c>
      <c r="C1" s="52" t="s">
        <v>34</v>
      </c>
      <c r="D1" s="52" t="s">
        <v>124</v>
      </c>
      <c r="E1" s="52" t="s">
        <v>126</v>
      </c>
      <c r="F1" s="52" t="s">
        <v>127</v>
      </c>
      <c r="G1" s="52" t="s">
        <v>202</v>
      </c>
    </row>
    <row r="2" spans="2:7" ht="21" x14ac:dyDescent="0.3">
      <c r="B2" s="53">
        <v>101</v>
      </c>
      <c r="C2" s="53" t="s">
        <v>203</v>
      </c>
      <c r="D2" s="53" t="s">
        <v>131</v>
      </c>
      <c r="E2" s="54">
        <v>45000</v>
      </c>
      <c r="F2" s="55">
        <v>46045</v>
      </c>
      <c r="G2" s="53" t="s">
        <v>204</v>
      </c>
    </row>
    <row r="3" spans="2:7" ht="21" x14ac:dyDescent="0.3">
      <c r="B3" s="53">
        <v>102</v>
      </c>
      <c r="C3" s="53" t="s">
        <v>205</v>
      </c>
      <c r="D3" s="53" t="s">
        <v>134</v>
      </c>
      <c r="E3" s="54">
        <v>55000</v>
      </c>
      <c r="F3" s="55">
        <v>46055</v>
      </c>
      <c r="G3" s="53" t="s">
        <v>204</v>
      </c>
    </row>
    <row r="4" spans="2:7" ht="21" x14ac:dyDescent="0.3">
      <c r="B4" s="53">
        <v>103</v>
      </c>
      <c r="C4" s="53" t="s">
        <v>206</v>
      </c>
      <c r="D4" s="53" t="s">
        <v>137</v>
      </c>
      <c r="E4" s="54">
        <v>70000</v>
      </c>
      <c r="F4" s="55">
        <v>46065</v>
      </c>
      <c r="G4" s="53" t="s">
        <v>207</v>
      </c>
    </row>
    <row r="5" spans="2:7" ht="21" x14ac:dyDescent="0.3">
      <c r="B5" s="53">
        <v>104</v>
      </c>
      <c r="C5" s="53" t="s">
        <v>208</v>
      </c>
      <c r="D5" s="53" t="s">
        <v>209</v>
      </c>
      <c r="E5" s="54">
        <v>60000</v>
      </c>
      <c r="F5" s="55">
        <v>46075</v>
      </c>
      <c r="G5" s="53" t="s">
        <v>204</v>
      </c>
    </row>
    <row r="6" spans="2:7" ht="21" x14ac:dyDescent="0.3">
      <c r="B6" s="53">
        <v>105</v>
      </c>
      <c r="C6" s="53" t="s">
        <v>210</v>
      </c>
      <c r="D6" s="53" t="s">
        <v>137</v>
      </c>
      <c r="E6" s="54">
        <v>80000</v>
      </c>
      <c r="F6" s="55">
        <v>46085</v>
      </c>
      <c r="G6" s="53" t="s">
        <v>204</v>
      </c>
    </row>
    <row r="7" spans="2:7" ht="21" x14ac:dyDescent="0.3">
      <c r="B7" s="53">
        <v>106</v>
      </c>
      <c r="C7" s="53" t="s">
        <v>211</v>
      </c>
      <c r="D7" s="53" t="s">
        <v>134</v>
      </c>
      <c r="E7" s="54">
        <v>50000</v>
      </c>
      <c r="F7" s="55">
        <v>46095</v>
      </c>
      <c r="G7" s="53" t="s">
        <v>207</v>
      </c>
    </row>
    <row r="8" spans="2:7" ht="21" x14ac:dyDescent="0.3">
      <c r="B8" s="53">
        <v>107</v>
      </c>
      <c r="C8" s="53" t="s">
        <v>212</v>
      </c>
      <c r="D8" s="53" t="s">
        <v>131</v>
      </c>
      <c r="E8" s="54">
        <v>47000</v>
      </c>
      <c r="F8" s="55">
        <v>46105</v>
      </c>
      <c r="G8" s="53" t="s">
        <v>204</v>
      </c>
    </row>
    <row r="9" spans="2:7" ht="21" x14ac:dyDescent="0.3">
      <c r="B9" s="53">
        <v>108</v>
      </c>
      <c r="C9" s="53" t="s">
        <v>213</v>
      </c>
      <c r="D9" s="53" t="s">
        <v>209</v>
      </c>
      <c r="E9" s="54">
        <v>65000</v>
      </c>
      <c r="F9" s="55">
        <v>46115</v>
      </c>
      <c r="G9" s="53" t="s">
        <v>204</v>
      </c>
    </row>
    <row r="10" spans="2:7" ht="21" x14ac:dyDescent="0.3">
      <c r="B10" s="53">
        <v>109</v>
      </c>
      <c r="C10" s="53" t="s">
        <v>214</v>
      </c>
      <c r="D10" s="53" t="s">
        <v>137</v>
      </c>
      <c r="E10" s="54">
        <v>90000</v>
      </c>
      <c r="F10" s="55">
        <v>46125</v>
      </c>
      <c r="G10" s="53" t="s">
        <v>204</v>
      </c>
    </row>
    <row r="11" spans="2:7" ht="21" x14ac:dyDescent="0.3">
      <c r="B11" s="53">
        <v>110</v>
      </c>
      <c r="C11" s="53" t="s">
        <v>215</v>
      </c>
      <c r="D11" s="53" t="s">
        <v>134</v>
      </c>
      <c r="E11" s="54">
        <v>52000</v>
      </c>
      <c r="F11" s="55">
        <v>46135</v>
      </c>
      <c r="G11" s="5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Video-1</vt:lpstr>
      <vt:lpstr>Video-2</vt:lpstr>
      <vt:lpstr>Video-2 Topics</vt:lpstr>
      <vt:lpstr>Video-3</vt:lpstr>
      <vt:lpstr>Video-4</vt:lpstr>
      <vt:lpstr>Video-5</vt:lpstr>
      <vt:lpstr>Video-6</vt:lpstr>
      <vt:lpstr>Video-7</vt:lpstr>
      <vt:lpstr>Video-8</vt:lpstr>
      <vt:lpstr>Video-9</vt:lpstr>
      <vt:lpstr>Video-10</vt:lpstr>
      <vt:lpstr>Video-11</vt:lpstr>
      <vt:lpstr>Video-12</vt:lpstr>
      <vt:lpstr>Video-13</vt:lpstr>
      <vt:lpstr>Video-14</vt:lpstr>
      <vt:lpstr>Video-15</vt:lpstr>
      <vt:lpstr>Sheet5</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2026-05-13T07:46:43Z</dcterms:modified>
</cp:coreProperties>
</file>