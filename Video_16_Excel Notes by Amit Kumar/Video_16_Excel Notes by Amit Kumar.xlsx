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2.Excel Content\"/>
    </mc:Choice>
  </mc:AlternateContent>
  <xr:revisionPtr revIDLastSave="0" documentId="13_ncr:1_{43B042C9-19B0-4B98-A039-2CD96850FCF7}" xr6:coauthVersionLast="47" xr6:coauthVersionMax="47" xr10:uidLastSave="{00000000-0000-0000-0000-000000000000}"/>
  <bookViews>
    <workbookView xWindow="-108" yWindow="-108" windowWidth="23256" windowHeight="12456" firstSheet="10" activeTab="16" xr2:uid="{00000000-000D-0000-FFFF-FFFF00000000}"/>
  </bookViews>
  <sheets>
    <sheet name="Video-1" sheetId="1" r:id="rId1"/>
    <sheet name="Video-2" sheetId="2" r:id="rId2"/>
    <sheet name="Video-2 Topics" sheetId="8" state="hidden" r:id="rId3"/>
    <sheet name="Video-3" sheetId="4" r:id="rId4"/>
    <sheet name="Video-4" sheetId="12" r:id="rId5"/>
    <sheet name="Video-5" sheetId="16" r:id="rId6"/>
    <sheet name="Video-6" sheetId="17" r:id="rId7"/>
    <sheet name="Video-7" sheetId="19" r:id="rId8"/>
    <sheet name="Video-8" sheetId="27" r:id="rId9"/>
    <sheet name="Video-9" sheetId="30" r:id="rId10"/>
    <sheet name="Video-10" sheetId="35" r:id="rId11"/>
    <sheet name="Video-11" sheetId="36" r:id="rId12"/>
    <sheet name="Video-12" sheetId="37" r:id="rId13"/>
    <sheet name="Video-13" sheetId="38" r:id="rId14"/>
    <sheet name="Video-14" sheetId="40" r:id="rId15"/>
    <sheet name="Video-15" sheetId="41" r:id="rId16"/>
    <sheet name="Video-16" sheetId="43" r:id="rId17"/>
    <sheet name="Sheet5" sheetId="34" state="hidden" r:id="rId18"/>
  </sheets>
  <definedNames>
    <definedName name="_xlnm._FilterDatabase" localSheetId="10" hidden="1">'Video-10'!$C$1:$H$11</definedName>
    <definedName name="_xlnm._FilterDatabase" localSheetId="11" hidden="1">'Video-11'!$C$1:$G$5</definedName>
    <definedName name="_xlnm._FilterDatabase" localSheetId="9" hidden="1">'Video-9'!$C$1:$H$11</definedName>
    <definedName name="_xlnm.Criteria" localSheetId="9">'Video-9'!$C$14:$D$15</definedName>
    <definedName name="_xlnm.Extract" localSheetId="9">'Video-9'!$C$17:$H$17</definedName>
    <definedName name="Slicer_Department">#N/A</definedName>
    <definedName name="Slicer_Remark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9"/>
        <x14:slicerCache r:id="rId2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5" i="43" l="1"/>
  <c r="BN6" i="43"/>
  <c r="BN4" i="43"/>
  <c r="BM5" i="43"/>
  <c r="BM6" i="43"/>
  <c r="BM4" i="43"/>
  <c r="BL5" i="43"/>
  <c r="BL6" i="43"/>
  <c r="BL4" i="43"/>
  <c r="AY5" i="43"/>
  <c r="AY6" i="43"/>
  <c r="AY7" i="43"/>
  <c r="AY8" i="43"/>
  <c r="AY4" i="43"/>
  <c r="AX5" i="43"/>
  <c r="AX6" i="43"/>
  <c r="AX7" i="43"/>
  <c r="AX8" i="43"/>
  <c r="AX4" i="43"/>
  <c r="AW5" i="43"/>
  <c r="AW6" i="43"/>
  <c r="AW7" i="43"/>
  <c r="AW8" i="43"/>
  <c r="AW4" i="43"/>
  <c r="AV5" i="43"/>
  <c r="AV6" i="43"/>
  <c r="AV7" i="43"/>
  <c r="AV8" i="43"/>
  <c r="AV4" i="43"/>
  <c r="AU5" i="43"/>
  <c r="AU6" i="43"/>
  <c r="AU7" i="43"/>
  <c r="AU8" i="43"/>
  <c r="AU4" i="43"/>
  <c r="AT5" i="43"/>
  <c r="AT6" i="43"/>
  <c r="AT7" i="43"/>
  <c r="AT8" i="43"/>
  <c r="AT4" i="43"/>
  <c r="AO5" i="43"/>
  <c r="AO6" i="43"/>
  <c r="AO7" i="43"/>
  <c r="AO8" i="43"/>
  <c r="AO9" i="43"/>
  <c r="AO10" i="43"/>
  <c r="AO4" i="43"/>
  <c r="AN5" i="43"/>
  <c r="AN6" i="43"/>
  <c r="AN7" i="43"/>
  <c r="AN8" i="43"/>
  <c r="AN9" i="43"/>
  <c r="AN10" i="43"/>
  <c r="AN4" i="43"/>
  <c r="AM5" i="43"/>
  <c r="AM6" i="43"/>
  <c r="AM7" i="43"/>
  <c r="AM8" i="43"/>
  <c r="AM9" i="43"/>
  <c r="AM10" i="43"/>
  <c r="AM4" i="43"/>
  <c r="AL5" i="43"/>
  <c r="AL6" i="43"/>
  <c r="AL7" i="43"/>
  <c r="AL8" i="43"/>
  <c r="AL9" i="43"/>
  <c r="AL10" i="43"/>
  <c r="AL4" i="43"/>
  <c r="AG5" i="43"/>
  <c r="AG6" i="43"/>
  <c r="AG7" i="43"/>
  <c r="AG8" i="43"/>
  <c r="AG9" i="43"/>
  <c r="AG10" i="43"/>
  <c r="AG4" i="43"/>
  <c r="AF5" i="43"/>
  <c r="AF6" i="43"/>
  <c r="AF7" i="43"/>
  <c r="AF8" i="43"/>
  <c r="AF9" i="43"/>
  <c r="AF10" i="43"/>
  <c r="AF4" i="43"/>
  <c r="Z5" i="43"/>
  <c r="Z6" i="43"/>
  <c r="Z7" i="43"/>
  <c r="Z8" i="43"/>
  <c r="Z9" i="43"/>
  <c r="Z10" i="43"/>
  <c r="Z4" i="43"/>
  <c r="Y5" i="43"/>
  <c r="Y6" i="43"/>
  <c r="Y7" i="43"/>
  <c r="Y8" i="43"/>
  <c r="Y9" i="43"/>
  <c r="Y10" i="43"/>
  <c r="Y4" i="43"/>
  <c r="X5" i="43"/>
  <c r="X6" i="43"/>
  <c r="X7" i="43"/>
  <c r="X8" i="43"/>
  <c r="X9" i="43"/>
  <c r="X10" i="43"/>
  <c r="X4" i="43"/>
  <c r="W5" i="43"/>
  <c r="W6" i="43"/>
  <c r="W7" i="43"/>
  <c r="W8" i="43"/>
  <c r="W9" i="43"/>
  <c r="W10" i="43"/>
  <c r="W4" i="43"/>
  <c r="V5" i="43"/>
  <c r="V6" i="43"/>
  <c r="V7" i="43"/>
  <c r="V8" i="43"/>
  <c r="V9" i="43"/>
  <c r="V10" i="43"/>
  <c r="V4" i="43"/>
  <c r="U5" i="43"/>
  <c r="U6" i="43"/>
  <c r="U7" i="43"/>
  <c r="U8" i="43"/>
  <c r="U9" i="43"/>
  <c r="U10" i="43"/>
  <c r="U4" i="43"/>
  <c r="O5" i="43"/>
  <c r="O6" i="43"/>
  <c r="O7" i="43"/>
  <c r="O8" i="43"/>
  <c r="O9" i="43"/>
  <c r="O10" i="43"/>
  <c r="O4" i="43"/>
  <c r="N5" i="43"/>
  <c r="N6" i="43"/>
  <c r="N7" i="43"/>
  <c r="N8" i="43"/>
  <c r="N9" i="43"/>
  <c r="N10" i="43"/>
  <c r="N4" i="43"/>
  <c r="M5" i="43"/>
  <c r="M6" i="43"/>
  <c r="M7" i="43"/>
  <c r="M8" i="43"/>
  <c r="M9" i="43"/>
  <c r="M10" i="43"/>
  <c r="M4" i="43"/>
  <c r="L5" i="43"/>
  <c r="L6" i="43"/>
  <c r="L7" i="43"/>
  <c r="L8" i="43"/>
  <c r="L9" i="43"/>
  <c r="L10" i="43"/>
  <c r="L4" i="43"/>
  <c r="K5" i="43"/>
  <c r="K6" i="43"/>
  <c r="K7" i="43"/>
  <c r="K8" i="43"/>
  <c r="K9" i="43"/>
  <c r="K10" i="43"/>
  <c r="K4" i="43"/>
  <c r="J5" i="43"/>
  <c r="J6" i="43"/>
  <c r="J7" i="43"/>
  <c r="J8" i="43"/>
  <c r="J9" i="43"/>
  <c r="J10" i="43"/>
  <c r="J4" i="43"/>
  <c r="E8" i="43"/>
  <c r="E3" i="43"/>
  <c r="AJ3" i="41"/>
  <c r="AI3" i="41"/>
  <c r="AH3" i="41"/>
  <c r="AG3" i="41"/>
  <c r="AF3" i="41"/>
  <c r="AC14" i="41"/>
  <c r="AC15" i="41"/>
  <c r="AC16" i="41"/>
  <c r="AC17" i="41"/>
  <c r="AC13" i="41"/>
  <c r="AA6" i="41" a="1"/>
  <c r="AA6" i="41" s="1"/>
  <c r="AA7" i="41" a="1"/>
  <c r="AA7" i="41" s="1"/>
  <c r="AA4" i="41" a="1"/>
  <c r="AA4" i="41" s="1"/>
  <c r="AA5" i="41" a="1"/>
  <c r="AA5" i="41" s="1"/>
  <c r="AA3" i="41" a="1"/>
  <c r="AA3" i="41" s="1"/>
  <c r="W6" i="41"/>
  <c r="W5" i="41"/>
  <c r="W4" i="41"/>
  <c r="W3" i="41"/>
  <c r="S13" i="41"/>
  <c r="R13" i="41"/>
  <c r="Q4" i="41"/>
  <c r="Q5" i="41"/>
  <c r="Q6" i="41"/>
  <c r="Q7" i="41"/>
  <c r="Q3" i="41"/>
  <c r="K13" i="41"/>
  <c r="K14" i="41"/>
  <c r="K15" i="41"/>
  <c r="K16" i="41"/>
  <c r="K12" i="41"/>
  <c r="M4" i="41"/>
  <c r="M5" i="41"/>
  <c r="M6" i="41"/>
  <c r="M7" i="41"/>
  <c r="M3" i="41"/>
  <c r="L4" i="41"/>
  <c r="L5" i="41"/>
  <c r="L6" i="41"/>
  <c r="L7" i="41"/>
  <c r="L3" i="41"/>
  <c r="K4" i="41"/>
  <c r="K5" i="41"/>
  <c r="K6" i="41"/>
  <c r="K7" i="41"/>
  <c r="K3" i="41"/>
  <c r="G3" i="41"/>
  <c r="G4" i="41"/>
  <c r="G5" i="41"/>
  <c r="G6" i="41"/>
  <c r="G7" i="41"/>
  <c r="F4" i="41"/>
  <c r="F5" i="41"/>
  <c r="F6" i="41"/>
  <c r="F7" i="41"/>
  <c r="F3" i="41"/>
  <c r="D12" i="40" l="1"/>
  <c r="E12" i="40"/>
  <c r="F12" i="40"/>
  <c r="G12" i="40"/>
  <c r="H12" i="40"/>
  <c r="I12" i="40"/>
  <c r="J12" i="40"/>
  <c r="D13" i="40"/>
  <c r="E13" i="40"/>
  <c r="F13" i="40"/>
  <c r="G13" i="40"/>
  <c r="H13" i="40"/>
  <c r="I13" i="40"/>
  <c r="J13" i="40"/>
  <c r="D14" i="40"/>
  <c r="E14" i="40"/>
  <c r="F14" i="40"/>
  <c r="G14" i="40"/>
  <c r="H14" i="40"/>
  <c r="I14" i="40"/>
  <c r="J14" i="40"/>
  <c r="D15" i="40"/>
  <c r="E15" i="40"/>
  <c r="F15" i="40"/>
  <c r="G15" i="40"/>
  <c r="H15" i="40"/>
  <c r="I15" i="40"/>
  <c r="J15" i="40"/>
  <c r="D16" i="40"/>
  <c r="E16" i="40"/>
  <c r="F16" i="40"/>
  <c r="G16" i="40"/>
  <c r="H16" i="40"/>
  <c r="I16" i="40"/>
  <c r="J16" i="40"/>
  <c r="D17" i="40"/>
  <c r="E17" i="40"/>
  <c r="F17" i="40"/>
  <c r="G17" i="40"/>
  <c r="H17" i="40"/>
  <c r="I17" i="40"/>
  <c r="J17" i="40"/>
  <c r="D18" i="40"/>
  <c r="E18" i="40"/>
  <c r="F18" i="40"/>
  <c r="G18" i="40"/>
  <c r="H18" i="40"/>
  <c r="I18" i="40"/>
  <c r="J18" i="40"/>
  <c r="E11" i="40"/>
  <c r="F11" i="40"/>
  <c r="G11" i="40"/>
  <c r="H11" i="40"/>
  <c r="I11" i="40"/>
  <c r="J11" i="40"/>
  <c r="D11" i="40"/>
  <c r="L6" i="40"/>
  <c r="K3" i="40"/>
  <c r="L3" i="40" s="1"/>
  <c r="K4" i="40"/>
  <c r="L4" i="40" s="1"/>
  <c r="K5" i="40"/>
  <c r="L5" i="40" s="1"/>
  <c r="K6" i="40"/>
  <c r="K7" i="40"/>
  <c r="L7" i="40" s="1"/>
  <c r="F5" i="40"/>
  <c r="F4" i="40"/>
  <c r="F3" i="40"/>
  <c r="F6" i="40"/>
  <c r="F7" i="40"/>
  <c r="T4" i="38"/>
  <c r="T5" i="38"/>
  <c r="T6" i="38"/>
  <c r="T7" i="38"/>
  <c r="T8" i="38"/>
  <c r="T9" i="38"/>
  <c r="T10" i="38"/>
  <c r="T11" i="38"/>
  <c r="T12" i="38"/>
  <c r="T13" i="38"/>
  <c r="T14" i="38"/>
  <c r="T15" i="38"/>
  <c r="T3" i="38"/>
  <c r="S4" i="38"/>
  <c r="S5" i="38"/>
  <c r="S6" i="38"/>
  <c r="S7" i="38"/>
  <c r="S8" i="38"/>
  <c r="S9" i="38"/>
  <c r="S10" i="38"/>
  <c r="S11" i="38"/>
  <c r="S12" i="38"/>
  <c r="S13" i="38"/>
  <c r="S14" i="38"/>
  <c r="S15" i="38"/>
  <c r="S3" i="38"/>
  <c r="P12" i="38"/>
  <c r="R4" i="38"/>
  <c r="R5" i="38"/>
  <c r="R6" i="38"/>
  <c r="R7" i="38"/>
  <c r="R8" i="38"/>
  <c r="R9" i="38"/>
  <c r="R10" i="38"/>
  <c r="R11" i="38"/>
  <c r="R12" i="38"/>
  <c r="R13" i="38"/>
  <c r="R14" i="38"/>
  <c r="R15" i="38"/>
  <c r="R3" i="38"/>
  <c r="Q4" i="38"/>
  <c r="Q5" i="38"/>
  <c r="Q6" i="38"/>
  <c r="Q7" i="38"/>
  <c r="Q8" i="38"/>
  <c r="Q9" i="38"/>
  <c r="Q10" i="38"/>
  <c r="Q11" i="38"/>
  <c r="Q12" i="38"/>
  <c r="Q13" i="38"/>
  <c r="Q14" i="38"/>
  <c r="Q15" i="38"/>
  <c r="Q3" i="38"/>
  <c r="P4" i="38"/>
  <c r="P5" i="38"/>
  <c r="P6" i="38"/>
  <c r="P7" i="38"/>
  <c r="P8" i="38"/>
  <c r="P9" i="38"/>
  <c r="P10" i="38"/>
  <c r="P11" i="38"/>
  <c r="P13" i="38"/>
  <c r="P14" i="38"/>
  <c r="P15" i="38"/>
  <c r="P3" i="38"/>
  <c r="K4" i="38"/>
  <c r="K5" i="38"/>
  <c r="K6" i="38"/>
  <c r="K7" i="38"/>
  <c r="K8" i="38"/>
  <c r="K3" i="38"/>
  <c r="J4" i="38"/>
  <c r="J5" i="38"/>
  <c r="J6" i="38"/>
  <c r="J7" i="38"/>
  <c r="J8" i="38"/>
  <c r="J3" i="38"/>
  <c r="I4" i="38"/>
  <c r="I5" i="38"/>
  <c r="I6" i="38"/>
  <c r="I7" i="38"/>
  <c r="I8" i="38"/>
  <c r="I3" i="38"/>
  <c r="H4" i="38"/>
  <c r="H5" i="38"/>
  <c r="H6" i="38"/>
  <c r="H7" i="38"/>
  <c r="H8" i="38"/>
  <c r="H3" i="38"/>
  <c r="L11" i="37"/>
  <c r="L10" i="37"/>
  <c r="M10" i="37"/>
  <c r="N10" i="37"/>
  <c r="O10" i="37"/>
  <c r="M11" i="37"/>
  <c r="N11" i="37"/>
  <c r="O11" i="37"/>
  <c r="L12" i="37"/>
  <c r="M12" i="37"/>
  <c r="N12" i="37"/>
  <c r="O12" i="37"/>
  <c r="L13" i="37"/>
  <c r="M13" i="37"/>
  <c r="N13" i="37"/>
  <c r="O13" i="37"/>
  <c r="L14" i="37"/>
  <c r="M14" i="37"/>
  <c r="N14" i="37"/>
  <c r="O14" i="37"/>
  <c r="L15" i="37"/>
  <c r="M15" i="37"/>
  <c r="N15" i="37"/>
  <c r="O15" i="37"/>
  <c r="H15" i="37"/>
  <c r="H14" i="37"/>
  <c r="H13" i="37"/>
  <c r="H12" i="37"/>
  <c r="H11" i="37"/>
  <c r="H4" i="37"/>
  <c r="H5" i="37"/>
  <c r="H6" i="37"/>
  <c r="H7" i="37"/>
  <c r="H8" i="37"/>
  <c r="I4" i="37"/>
  <c r="G8" i="36"/>
  <c r="G7" i="36"/>
  <c r="G6" i="36"/>
  <c r="G2" i="36"/>
  <c r="G3" i="36"/>
  <c r="G4" i="36"/>
  <c r="G5" i="36"/>
  <c r="G12" i="27"/>
  <c r="F12" i="27"/>
  <c r="W4" i="12"/>
  <c r="W5" i="12"/>
  <c r="W6" i="12"/>
  <c r="W7" i="12"/>
  <c r="W3" i="12"/>
  <c r="R7" i="12"/>
  <c r="R6" i="12"/>
  <c r="R5" i="12"/>
  <c r="R4" i="12"/>
  <c r="R3" i="12"/>
  <c r="L4" i="12"/>
  <c r="L5" i="12"/>
  <c r="L6" i="12"/>
  <c r="L3" i="12"/>
  <c r="K4" i="12"/>
  <c r="K5" i="12"/>
  <c r="K6" i="12"/>
  <c r="F7" i="12"/>
  <c r="G7" i="12"/>
  <c r="E7" i="12"/>
  <c r="J4" i="12"/>
  <c r="J5" i="12"/>
  <c r="J6" i="12"/>
  <c r="J3" i="12"/>
  <c r="K3" i="12" s="1"/>
  <c r="I4" i="12"/>
  <c r="I5" i="12"/>
  <c r="I6" i="12"/>
  <c r="I3" i="12"/>
  <c r="H4" i="12"/>
  <c r="H5" i="12"/>
  <c r="H6" i="12"/>
  <c r="H3" i="12"/>
  <c r="D3"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<sst xmlns="http://schemas.openxmlformats.org/spreadsheetml/2006/main" count="1000" uniqueCount="445">
  <si>
    <t>Topics Covered in this Video</t>
  </si>
  <si>
    <t>How to open Excel Workbook</t>
  </si>
  <si>
    <t>Excel Interface</t>
  </si>
  <si>
    <t>Workbook Vs Worksheet</t>
  </si>
  <si>
    <t>Row, Columns &amp; Cells</t>
  </si>
  <si>
    <t>Save Vs Save As</t>
  </si>
  <si>
    <t>Navigation With ALT key</t>
  </si>
  <si>
    <t>Shortcut Keys in Excel : Mouse vs Keyboard</t>
  </si>
  <si>
    <t>Cell Movement</t>
  </si>
  <si>
    <t>Switch in workbooks</t>
  </si>
  <si>
    <t>Mouse</t>
  </si>
  <si>
    <t>Arrow keys</t>
  </si>
  <si>
    <t>CTRL+PAGEUP / CTRL+PAGEDOWN</t>
  </si>
  <si>
    <t>CTRL+TAB</t>
  </si>
  <si>
    <t>PAGEUP / PAGEDOWN</t>
  </si>
  <si>
    <t>Go inside a cell(to edit something)</t>
  </si>
  <si>
    <t>Double click / formula bar / F2</t>
  </si>
  <si>
    <t>Cell Movement while entering data</t>
  </si>
  <si>
    <t>TAB/ SHIFT+TAB / ENTER / SHIFT+ENTER</t>
  </si>
  <si>
    <t>other shortcuts we do as we cover remaining topics in coming videos</t>
  </si>
  <si>
    <t>Selection Related shortcuts</t>
  </si>
  <si>
    <t>Complete selections</t>
  </si>
  <si>
    <t>CTRL+A</t>
  </si>
  <si>
    <t>CTRL+SHIFT+Arrow key</t>
  </si>
  <si>
    <t>Select till data is present(no blank cell is present in between)</t>
  </si>
  <si>
    <t>Insert Column</t>
  </si>
  <si>
    <t>Insert Row</t>
  </si>
  <si>
    <t>Delete Row</t>
  </si>
  <si>
    <t>Delete Column</t>
  </si>
  <si>
    <t>Select limited data as per your choise</t>
  </si>
  <si>
    <t>SHIFT+Arrow Key</t>
  </si>
  <si>
    <t>SHIFT+SPACEBAR</t>
  </si>
  <si>
    <t>CTRL+SPACEBAR</t>
  </si>
  <si>
    <t>ID</t>
  </si>
  <si>
    <t>Name</t>
  </si>
  <si>
    <t>Designation</t>
  </si>
  <si>
    <t>SAL</t>
  </si>
  <si>
    <t>Loc</t>
  </si>
  <si>
    <t>Advance Associate</t>
  </si>
  <si>
    <t>GGN</t>
  </si>
  <si>
    <t>Annapurna Deori</t>
  </si>
  <si>
    <t>Associate</t>
  </si>
  <si>
    <t>Deepak Kumar</t>
  </si>
  <si>
    <t>Divya Dogra</t>
  </si>
  <si>
    <t>Tarun Verma</t>
  </si>
  <si>
    <t>Neelam Chauhan</t>
  </si>
  <si>
    <t>Sr. Associate</t>
  </si>
  <si>
    <t>Parijat Singal</t>
  </si>
  <si>
    <t>Shikha Maheshwari</t>
  </si>
  <si>
    <t>Delhi</t>
  </si>
  <si>
    <t>Rohan Kumar</t>
  </si>
  <si>
    <t>Manisha Madhu</t>
  </si>
  <si>
    <t>Abhishek Mathur</t>
  </si>
  <si>
    <t>Mohd. Shoaib Anwar</t>
  </si>
  <si>
    <t>Noida</t>
  </si>
  <si>
    <t>Kuljeet Singh</t>
  </si>
  <si>
    <t>Complete Excel Row</t>
  </si>
  <si>
    <t>Complete Excel Column</t>
  </si>
  <si>
    <t>Select Complete Row then CTRL +</t>
  </si>
  <si>
    <t>Select Complete Column then CTRL +</t>
  </si>
  <si>
    <t>Select Complete Row then CTRL -</t>
  </si>
  <si>
    <t>Select Complete Column then CTRL -</t>
  </si>
  <si>
    <t>id</t>
  </si>
  <si>
    <t>Sheet Movement(Moves the view one screen down /up)</t>
  </si>
  <si>
    <t>Note: No need to remember anything when you start using it you will be habitual of it</t>
  </si>
  <si>
    <t>Ajit Sherawat</t>
  </si>
  <si>
    <t>Keyboard Shortcut</t>
  </si>
  <si>
    <t>Topic</t>
  </si>
  <si>
    <t>• Understanding Alignment Group</t>
  </si>
  <si>
    <t>• Understanding Font Group</t>
  </si>
  <si>
    <t>Basic Data Entry</t>
  </si>
  <si>
    <t>• For Bold CTRL+B also works</t>
  </si>
  <si>
    <t>• For Italics CTRL+I also works</t>
  </si>
  <si>
    <t>• For Underline CTRL+U also works</t>
  </si>
  <si>
    <t>Insert Cells</t>
  </si>
  <si>
    <t>CTRL + then select option</t>
  </si>
  <si>
    <t>Fast movement in sheet(One sheet Down/Up)</t>
  </si>
  <si>
    <t>Name1123</t>
  </si>
  <si>
    <t>Sheet Movement(Moves the view one screen down/up)</t>
  </si>
  <si>
    <t>Shortcut Keys</t>
  </si>
  <si>
    <t>Data Formatting(data decoration)</t>
  </si>
  <si>
    <t>• Understanding Clipboard Group</t>
  </si>
  <si>
    <t xml:space="preserve">• Autofit Column Width </t>
  </si>
  <si>
    <t>ALT+H +O+A</t>
  </si>
  <si>
    <t>CTRL+Z / CTRL+Y</t>
  </si>
  <si>
    <t>Ajit Sehrawat</t>
  </si>
  <si>
    <t>• Data Delete/format delete/complete delete</t>
  </si>
  <si>
    <t>• Undo/Redo</t>
  </si>
  <si>
    <t>Note: Alt + O + C + A comes from the old Excel 2003-style menus, but still works in newer versions for backward compatibility.</t>
  </si>
  <si>
    <t>ALT+H +O+I</t>
  </si>
  <si>
    <t>ALT+O+C+A</t>
  </si>
  <si>
    <t>Understanding Basic Data Entry &amp; Data Formatting</t>
  </si>
  <si>
    <t>A</t>
  </si>
  <si>
    <t>Employee table</t>
  </si>
  <si>
    <t>Adjustments of cell, column, rows</t>
  </si>
  <si>
    <t>• Autofit Column Height</t>
  </si>
  <si>
    <t>Student Name</t>
  </si>
  <si>
    <t>Math</t>
  </si>
  <si>
    <t>Science</t>
  </si>
  <si>
    <t>English</t>
  </si>
  <si>
    <t>Rahul</t>
  </si>
  <si>
    <t>Priya</t>
  </si>
  <si>
    <t>Amit</t>
  </si>
  <si>
    <t>Neha</t>
  </si>
  <si>
    <t>Sum</t>
  </si>
  <si>
    <t>Item</t>
  </si>
  <si>
    <t>Quantity</t>
  </si>
  <si>
    <t>Price</t>
  </si>
  <si>
    <t>Apples</t>
  </si>
  <si>
    <t>Bananas</t>
  </si>
  <si>
    <t>Oranges</t>
  </si>
  <si>
    <t>Grapes</t>
  </si>
  <si>
    <t>Mangoes</t>
  </si>
  <si>
    <t>Mulitply</t>
  </si>
  <si>
    <t>Amount</t>
  </si>
  <si>
    <t>Qunatity</t>
  </si>
  <si>
    <t>Divide</t>
  </si>
  <si>
    <t>Sno.</t>
  </si>
  <si>
    <t>Basics Formulas: Sum, Subtract, Divide, Multiply</t>
  </si>
  <si>
    <t>Number Group in Home Tab</t>
  </si>
  <si>
    <t>subtract</t>
  </si>
  <si>
    <t>CTRL+R</t>
  </si>
  <si>
    <t>CTRL+D</t>
  </si>
  <si>
    <t>Employee</t>
  </si>
  <si>
    <t>Department</t>
  </si>
  <si>
    <t>Age</t>
  </si>
  <si>
    <t>Salary</t>
  </si>
  <si>
    <t>Joining Date</t>
  </si>
  <si>
    <t>Performance</t>
  </si>
  <si>
    <t>Remarks</t>
  </si>
  <si>
    <t>A001</t>
  </si>
  <si>
    <t>HR</t>
  </si>
  <si>
    <t>Good</t>
  </si>
  <si>
    <t>A002</t>
  </si>
  <si>
    <t>Finance</t>
  </si>
  <si>
    <t>Excellent</t>
  </si>
  <si>
    <t>A003</t>
  </si>
  <si>
    <t>IT</t>
  </si>
  <si>
    <t>Average</t>
  </si>
  <si>
    <t>A004</t>
  </si>
  <si>
    <t>Sales</t>
  </si>
  <si>
    <t>A005</t>
  </si>
  <si>
    <t>Needs Training</t>
  </si>
  <si>
    <t>A006</t>
  </si>
  <si>
    <t>A007</t>
  </si>
  <si>
    <t>A008</t>
  </si>
  <si>
    <t>Outstanding</t>
  </si>
  <si>
    <t>A009</t>
  </si>
  <si>
    <t>A010</t>
  </si>
  <si>
    <t>Format As Table</t>
  </si>
  <si>
    <t>Table Vs Normal Range</t>
  </si>
  <si>
    <t>Cell Styles</t>
  </si>
  <si>
    <t>Cells Group in Home Tab</t>
  </si>
  <si>
    <t>AutoSum</t>
  </si>
  <si>
    <t>Clear</t>
  </si>
  <si>
    <t>Fill &amp; Flash Fill</t>
  </si>
  <si>
    <t>A short paragraph is a focused group of three to</t>
  </si>
  <si>
    <t>eight sentences, typically under five sentences,</t>
  </si>
  <si>
    <t>that develops one single idea. It should be</t>
  </si>
  <si>
    <t>concise, well-organized, and often begins with a</t>
  </si>
  <si>
    <t>topic sentence to convey a clear message,</t>
  </si>
  <si>
    <t>making it ideal for bl</t>
  </si>
  <si>
    <t>Ajit</t>
  </si>
  <si>
    <t>Annapurna</t>
  </si>
  <si>
    <t>Deepak</t>
  </si>
  <si>
    <t>Divya</t>
  </si>
  <si>
    <t>Tarun</t>
  </si>
  <si>
    <t>Neelam</t>
  </si>
  <si>
    <t>Parijat</t>
  </si>
  <si>
    <t>Shikha</t>
  </si>
  <si>
    <t>Rohan</t>
  </si>
  <si>
    <t>Manisha</t>
  </si>
  <si>
    <t>Abhishek</t>
  </si>
  <si>
    <t>Mohd</t>
  </si>
  <si>
    <t>Kuljeet</t>
  </si>
  <si>
    <t>Sehrawat</t>
  </si>
  <si>
    <t>Deori</t>
  </si>
  <si>
    <t>Kumar</t>
  </si>
  <si>
    <t>Dogra</t>
  </si>
  <si>
    <t>Verma</t>
  </si>
  <si>
    <t>Chauhan</t>
  </si>
  <si>
    <t>Singal</t>
  </si>
  <si>
    <t>Maheshwari</t>
  </si>
  <si>
    <t>Madhu</t>
  </si>
  <si>
    <t>Mathur</t>
  </si>
  <si>
    <t>Anwar</t>
  </si>
  <si>
    <t>Singh</t>
  </si>
  <si>
    <t>AS</t>
  </si>
  <si>
    <t>AD</t>
  </si>
  <si>
    <t>NN</t>
  </si>
  <si>
    <t>DK</t>
  </si>
  <si>
    <t>DD</t>
  </si>
  <si>
    <t>TV</t>
  </si>
  <si>
    <t>NC</t>
  </si>
  <si>
    <t>PS</t>
  </si>
  <si>
    <t>SM</t>
  </si>
  <si>
    <t>RK</t>
  </si>
  <si>
    <t>MM</t>
  </si>
  <si>
    <t>AM</t>
  </si>
  <si>
    <t>MA</t>
  </si>
  <si>
    <t>KS</t>
  </si>
  <si>
    <t>Employee ID</t>
  </si>
  <si>
    <t>Status</t>
  </si>
  <si>
    <t>Rahul Verma</t>
  </si>
  <si>
    <t>Active</t>
  </si>
  <si>
    <t>Sneha Gupta</t>
  </si>
  <si>
    <t>Arjun Mehta</t>
  </si>
  <si>
    <t>Resigned</t>
  </si>
  <si>
    <t>Priya Nair</t>
  </si>
  <si>
    <t>Marketing</t>
  </si>
  <si>
    <t>Karan Singh</t>
  </si>
  <si>
    <t>Meera Joshi</t>
  </si>
  <si>
    <t>Anil Kumar</t>
  </si>
  <si>
    <t>Riya Shah</t>
  </si>
  <si>
    <t>Dev Patel</t>
  </si>
  <si>
    <t>Neha Rana</t>
  </si>
  <si>
    <t>🎯 How to Practice Filters</t>
  </si>
  <si>
    <r>
      <t>Text Filters</t>
    </r>
    <r>
      <rPr>
        <sz val="11"/>
        <color theme="1"/>
        <rFont val="Calibri"/>
        <family val="2"/>
        <scheme val="minor"/>
      </rPr>
      <t>: Filter by Department = "IT" or Status = "Resigned".</t>
    </r>
  </si>
  <si>
    <r>
      <t>Number Filters</t>
    </r>
    <r>
      <rPr>
        <sz val="11"/>
        <color theme="1"/>
        <rFont val="Calibri"/>
        <family val="2"/>
        <scheme val="minor"/>
      </rPr>
      <t>: Show employees with Salary &gt; 60,000.</t>
    </r>
  </si>
  <si>
    <r>
      <t>Custom Filters</t>
    </r>
    <r>
      <rPr>
        <sz val="11"/>
        <color theme="1"/>
        <rFont val="Calibri"/>
        <family val="2"/>
        <scheme val="minor"/>
      </rPr>
      <t>: Combine conditions (e.g., Department = "Finance" AND Salary &lt; 55,000).</t>
    </r>
  </si>
  <si>
    <r>
      <t>Top/Bottom Filters</t>
    </r>
    <r>
      <rPr>
        <sz val="11"/>
        <color theme="1"/>
        <rFont val="Calibri"/>
        <family val="2"/>
        <scheme val="minor"/>
      </rPr>
      <t>: Show Top 3 salaries or Bottom 3 salaries.</t>
    </r>
  </si>
  <si>
    <r>
      <t>Advanced Filter</t>
    </r>
    <r>
      <rPr>
        <sz val="11"/>
        <color theme="1"/>
        <rFont val="Calibri"/>
        <family val="2"/>
        <scheme val="minor"/>
      </rPr>
      <t>: Extract records into another sheet based on multiple criteria.</t>
    </r>
  </si>
  <si>
    <t>Best practices for clean datasets (no blank rows/columns).</t>
  </si>
  <si>
    <t>Common mistakes (e.g., hidden rows vs. filtered rows).</t>
  </si>
  <si>
    <t>Pro Tips</t>
  </si>
  <si>
    <t>Keyboard shortcuts for faster filtering.</t>
  </si>
  <si>
    <r>
      <t xml:space="preserve">Converting data into </t>
    </r>
    <r>
      <rPr>
        <b/>
        <sz val="11"/>
        <color theme="1"/>
        <rFont val="Calibri"/>
        <family val="2"/>
        <scheme val="minor"/>
      </rPr>
      <t>Excel Tables</t>
    </r>
    <r>
      <rPr>
        <sz val="11"/>
        <color theme="1"/>
        <rFont val="Calibri"/>
        <family val="2"/>
        <scheme val="minor"/>
      </rPr>
      <t xml:space="preserve"> for easier filter management.</t>
    </r>
  </si>
  <si>
    <t>Shortcut key(apply and remove): CTRL+SHIFT+L</t>
  </si>
  <si>
    <t>Color Filter</t>
  </si>
  <si>
    <t>Remove filter from Table Vs Specific Column</t>
  </si>
  <si>
    <t>Filter In Excel</t>
  </si>
  <si>
    <t>Text Filter, Number Filter and Date Filter</t>
  </si>
  <si>
    <r>
      <t>Date Filters</t>
    </r>
    <r>
      <rPr>
        <sz val="11"/>
        <color theme="1"/>
        <rFont val="Calibri"/>
        <family val="2"/>
        <scheme val="minor"/>
      </rPr>
      <t>: Filter Joining Date between 01-Jan-2026 and 31-Mar-2026.</t>
    </r>
  </si>
  <si>
    <t>&gt;75000</t>
  </si>
  <si>
    <t>Sorting In Excel</t>
  </si>
  <si>
    <t>Shortcut key(apply and remove): ALT+A+SA / ALT+A+SD / ALT+A+SS</t>
  </si>
  <si>
    <t>Sorting on Numbers</t>
  </si>
  <si>
    <t>Sorting on Text</t>
  </si>
  <si>
    <t>Sorting by Color</t>
  </si>
  <si>
    <t>Custom Sort</t>
  </si>
  <si>
    <t>Sorting Icon</t>
  </si>
  <si>
    <t>Sorting on Date</t>
  </si>
  <si>
    <t>Find &amp; Select</t>
  </si>
  <si>
    <t>Product</t>
  </si>
  <si>
    <t>Category</t>
  </si>
  <si>
    <t>Total</t>
  </si>
  <si>
    <t>Apple</t>
  </si>
  <si>
    <t>Fruit</t>
  </si>
  <si>
    <t>Banana</t>
  </si>
  <si>
    <t>Carrot</t>
  </si>
  <si>
    <t>Vegetable</t>
  </si>
  <si>
    <t>Tomato</t>
  </si>
  <si>
    <t>Mango</t>
  </si>
  <si>
    <t>Replace (CTRL + H)</t>
  </si>
  <si>
    <t>Find (CTRL + F)</t>
  </si>
  <si>
    <t>Go To Special:</t>
  </si>
  <si>
    <t>fill all blank once with one value</t>
  </si>
  <si>
    <t>fill all blanks with above value</t>
  </si>
  <si>
    <t>how to delete blank rows</t>
  </si>
  <si>
    <t>Blank</t>
  </si>
  <si>
    <t>Item Price</t>
  </si>
  <si>
    <t>Example-1 : Normal Copy Paste</t>
  </si>
  <si>
    <t>Paste Special (CTRL+ALT+V)</t>
  </si>
  <si>
    <t>Example-2 : Operations</t>
  </si>
  <si>
    <t>Add</t>
  </si>
  <si>
    <t>Subtract</t>
  </si>
  <si>
    <t>Multiply</t>
  </si>
  <si>
    <t>Example-3 : Skip Blanks</t>
  </si>
  <si>
    <t>Min</t>
  </si>
  <si>
    <t>Max</t>
  </si>
  <si>
    <t>Count</t>
  </si>
  <si>
    <t>CountA</t>
  </si>
  <si>
    <t>CountBlank</t>
  </si>
  <si>
    <t>Student</t>
  </si>
  <si>
    <t>History</t>
  </si>
  <si>
    <t>B</t>
  </si>
  <si>
    <t>C</t>
  </si>
  <si>
    <t>D</t>
  </si>
  <si>
    <t>E</t>
  </si>
  <si>
    <t>F</t>
  </si>
  <si>
    <t>Maximum</t>
  </si>
  <si>
    <t>Minimum</t>
  </si>
  <si>
    <t>Count Text</t>
  </si>
  <si>
    <t>Count - Counts only numeric values.</t>
  </si>
  <si>
    <t>CountA - Counts all non-empty cells (numbers + text)</t>
  </si>
  <si>
    <t>CountBlank - Counts empty cells</t>
  </si>
  <si>
    <t>Count Text - Counts cells containing text</t>
  </si>
  <si>
    <t>a</t>
  </si>
  <si>
    <t>abc</t>
  </si>
  <si>
    <t>@</t>
  </si>
  <si>
    <t>abc123</t>
  </si>
  <si>
    <t>Hello</t>
  </si>
  <si>
    <t>*</t>
  </si>
  <si>
    <t>Tax Rate</t>
  </si>
  <si>
    <t>Pen</t>
  </si>
  <si>
    <t>Notebook</t>
  </si>
  <si>
    <t>Eraser</t>
  </si>
  <si>
    <t>Marker</t>
  </si>
  <si>
    <t>Scale</t>
  </si>
  <si>
    <t>Relative Refrence - (No Freeze) - A1</t>
  </si>
  <si>
    <t>Absolute Refrence - (Complete Freeze) - $A$1</t>
  </si>
  <si>
    <t>Mix Refrence - (Row Freeze &amp; Column Freeze) - $A1 , A$1</t>
  </si>
  <si>
    <t>Cell Referencing :</t>
  </si>
  <si>
    <t>Tax Amount</t>
  </si>
  <si>
    <t>Statistical Formulas:</t>
  </si>
  <si>
    <t>Text Formulas:</t>
  </si>
  <si>
    <t>Length</t>
  </si>
  <si>
    <t>Trim</t>
  </si>
  <si>
    <t>Lower, Upper, Proper</t>
  </si>
  <si>
    <t>Concatenate</t>
  </si>
  <si>
    <t>Ampersand(&amp;)</t>
  </si>
  <si>
    <t>Exact</t>
  </si>
  <si>
    <t>Find</t>
  </si>
  <si>
    <t>Search</t>
  </si>
  <si>
    <t>Substitute Formula</t>
  </si>
  <si>
    <t>First Name</t>
  </si>
  <si>
    <t>Last Name</t>
  </si>
  <si>
    <t>Result</t>
  </si>
  <si>
    <t>Sharma</t>
  </si>
  <si>
    <t>Mehta</t>
  </si>
  <si>
    <t>Mumbai</t>
  </si>
  <si>
    <t>Raj</t>
  </si>
  <si>
    <t>Gupta</t>
  </si>
  <si>
    <t>Kolkata</t>
  </si>
  <si>
    <t>Sneha</t>
  </si>
  <si>
    <t>Chennai</t>
  </si>
  <si>
    <t>Arjun</t>
  </si>
  <si>
    <t>Patel</t>
  </si>
  <si>
    <t>Bangalore</t>
  </si>
  <si>
    <t>Full Name</t>
  </si>
  <si>
    <t>CONCATENATE</t>
  </si>
  <si>
    <t>Ampersand (&amp;)</t>
  </si>
  <si>
    <t>Name Input</t>
  </si>
  <si>
    <t>AMIT SHARMA</t>
  </si>
  <si>
    <t>priya mehta</t>
  </si>
  <si>
    <t>Priya Mehta</t>
  </si>
  <si>
    <t>rAj GuPtA</t>
  </si>
  <si>
    <t>Raj Gupta</t>
  </si>
  <si>
    <t>sneha VERMA</t>
  </si>
  <si>
    <t>Sneha Verma</t>
  </si>
  <si>
    <t>arjun patel</t>
  </si>
  <si>
    <t>Lower</t>
  </si>
  <si>
    <t>Upper</t>
  </si>
  <si>
    <t>Proper</t>
  </si>
  <si>
    <t>delhi</t>
  </si>
  <si>
    <t>Exact(Case sensitive)</t>
  </si>
  <si>
    <t>=</t>
  </si>
  <si>
    <t>Input Text</t>
  </si>
  <si>
    <t>Result (LEN)</t>
  </si>
  <si>
    <t>Arjun Patel 123</t>
  </si>
  <si>
    <t>Result (TRIM)</t>
  </si>
  <si>
    <t>#Trim - it removes before and after space, but it allows only 1 space b/w two words</t>
  </si>
  <si>
    <t>Data</t>
  </si>
  <si>
    <t>Want Data</t>
  </si>
  <si>
    <t>Sales Data</t>
  </si>
  <si>
    <t>Cost Data</t>
  </si>
  <si>
    <t>Sales Data Sales</t>
  </si>
  <si>
    <t>Cost Data Cost</t>
  </si>
  <si>
    <t>Sales Data Cost</t>
  </si>
  <si>
    <t>Sales Data Sales Sales</t>
  </si>
  <si>
    <t># Substitute</t>
  </si>
  <si>
    <t>=SUBSTITUTE(text,old_text,new_text,instance_num)</t>
  </si>
  <si>
    <t>text</t>
  </si>
  <si>
    <t>In which text you want to replace the text</t>
  </si>
  <si>
    <t>Old_text</t>
  </si>
  <si>
    <t>which text you want to replace</t>
  </si>
  <si>
    <t>new_text</t>
  </si>
  <si>
    <t>which text want to add inplace of old text</t>
  </si>
  <si>
    <t>instance_num</t>
  </si>
  <si>
    <t>Which position</t>
  </si>
  <si>
    <t>Result (TEXTSPLIT)</t>
  </si>
  <si>
    <t>Amit,Sharma,Delhi</t>
  </si>
  <si>
    <t>Priya,Mehta,Mumbai</t>
  </si>
  <si>
    <t>Raj,Gupta,Kolkata</t>
  </si>
  <si>
    <t># TEXTSPLIT</t>
  </si>
  <si>
    <t># TEXTJOIN</t>
  </si>
  <si>
    <t>Text Split</t>
  </si>
  <si>
    <t>Text Join</t>
  </si>
  <si>
    <t>Left</t>
  </si>
  <si>
    <t>Left, Right, Mid</t>
  </si>
  <si>
    <t>Right</t>
  </si>
  <si>
    <t>Mid</t>
  </si>
  <si>
    <t>Excel Tutorial By Amit Kumar</t>
  </si>
  <si>
    <t>Text</t>
  </si>
  <si>
    <t>Month</t>
  </si>
  <si>
    <t>Year</t>
  </si>
  <si>
    <t>Days</t>
  </si>
  <si>
    <t>Text Formula</t>
  </si>
  <si>
    <t>D/DD/DDD/DDDD</t>
  </si>
  <si>
    <t>Day</t>
  </si>
  <si>
    <t>Current Date</t>
  </si>
  <si>
    <t>Formula</t>
  </si>
  <si>
    <t>Shortcut</t>
  </si>
  <si>
    <t>Current Time</t>
  </si>
  <si>
    <t>CTRL + :</t>
  </si>
  <si>
    <t>CTRL + Shift + :</t>
  </si>
  <si>
    <t>Text Formula for date</t>
  </si>
  <si>
    <t>Start Date</t>
  </si>
  <si>
    <t>End Date</t>
  </si>
  <si>
    <t>Holiday(s)</t>
  </si>
  <si>
    <t>Days360</t>
  </si>
  <si>
    <t>NetWorkDays</t>
  </si>
  <si>
    <t>NETWORKDAYS.INTL</t>
  </si>
  <si>
    <t>with holiday</t>
  </si>
  <si>
    <t>without holiday</t>
  </si>
  <si>
    <t>Workday</t>
  </si>
  <si>
    <t>consider Sat and sun</t>
  </si>
  <si>
    <t>Workday.INTL</t>
  </si>
  <si>
    <t>Day, Month, Year</t>
  </si>
  <si>
    <t>Date &amp; Time Related Formula</t>
  </si>
  <si>
    <t>Hour</t>
  </si>
  <si>
    <t>Minute</t>
  </si>
  <si>
    <t>Second</t>
  </si>
  <si>
    <t>Event</t>
  </si>
  <si>
    <t>Time</t>
  </si>
  <si>
    <t>Meeting Start</t>
  </si>
  <si>
    <t>Lunch Break</t>
  </si>
  <si>
    <t>Report Deadline</t>
  </si>
  <si>
    <t xml:space="preserve"> Amit </t>
  </si>
  <si>
    <t xml:space="preserve"> Raj Gupta </t>
  </si>
  <si>
    <t xml:space="preserve"> Sneha   Verma </t>
  </si>
  <si>
    <t xml:space="preserve">     Arjun Patel    </t>
  </si>
  <si>
    <t xml:space="preserve"> Priya     Mehta    </t>
  </si>
  <si>
    <t>Arjun Patel</t>
  </si>
  <si>
    <t>Sales Data Sales Cost</t>
  </si>
  <si>
    <t>Arjun Patel Bangalore</t>
  </si>
  <si>
    <t>Sneha@Verma@Chennai</t>
  </si>
  <si>
    <t xml:space="preserve">Excel </t>
  </si>
  <si>
    <t>Edate</t>
  </si>
  <si>
    <t>EOMonth</t>
  </si>
  <si>
    <t>Months</t>
  </si>
  <si>
    <t>EoMonth</t>
  </si>
  <si>
    <t>Datedif</t>
  </si>
  <si>
    <t>M</t>
  </si>
  <si>
    <t>Y</t>
  </si>
  <si>
    <t>Complete months</t>
  </si>
  <si>
    <t>Complete years</t>
  </si>
  <si>
    <t>Days difference, ignoring months and years.</t>
  </si>
  <si>
    <t>MD</t>
  </si>
  <si>
    <t>YM</t>
  </si>
  <si>
    <t>Months difference, ignoring days and years.</t>
  </si>
  <si>
    <t>YD</t>
  </si>
  <si>
    <t>Days difference, ignoring years.</t>
  </si>
  <si>
    <t>DatedIF</t>
  </si>
  <si>
    <t>365/366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</si>
</sst>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quot;₹&quot;\ #,##0.00"/>
    <numFmt numFmtId="165" formatCode="_-[$$-409]* #,##0.00_ ;_-[$$-409]* \-#,##0.00\ ;_-[$$-409]* &quot;-&quot;??_ ;_-@_ "/>
    <numFmt numFmtId="166" formatCode="_ * #,##0_ ;_ * \-#,##0_ ;_ * &quot;-&quot;??_ ;_ @_ "/>
    <numFmt numFmtId="167" formatCode="[$-14009]dddd\,\ d\ mmmm\,\ yyyy;@"/>
  </numFmts>
  <fonts count="16">
    <font>
      <sz val="11"/>
      <color theme="1"/>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b/>
      <sz val="11"/>
      <color rgb="FFFF0000"/>
      <name val="Calibri"/>
      <family val="2"/>
      <scheme val="minor"/>
    </font>
    <font>
      <b/>
      <sz val="11"/>
      <color theme="0"/>
      <name val="Calibri"/>
      <family val="2"/>
      <scheme val="minor"/>
    </font>
    <font>
      <sz val="8"/>
      <name val="Calibri"/>
      <family val="2"/>
      <scheme val="minor"/>
    </font>
    <font>
      <sz val="10"/>
      <color rgb="FF0A0A0A"/>
      <name val="Arial"/>
      <family val="2"/>
    </font>
    <font>
      <b/>
      <sz val="16"/>
      <color theme="1"/>
      <name val="Calibri"/>
      <family val="2"/>
      <scheme val="minor"/>
    </font>
    <font>
      <sz val="16"/>
      <color theme="1"/>
      <name val="Calibri"/>
      <family val="2"/>
      <scheme val="minor"/>
    </font>
    <font>
      <sz val="16"/>
      <color rgb="FFFF0000"/>
      <name val="Calibri"/>
      <family val="2"/>
      <scheme val="minor"/>
    </font>
    <font>
      <sz val="16"/>
      <color theme="1"/>
      <name val="Arial Unicode MS"/>
    </font>
    <font>
      <u/>
      <sz val="11"/>
      <color theme="10"/>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3" tint="0.39997558519241921"/>
        <bgColor indexed="64"/>
      </patternFill>
    </fill>
    <fill>
      <patternFill patternType="solid">
        <fgColor theme="4" tint="0.59999389629810485"/>
        <bgColor indexed="64"/>
      </patternFill>
    </fill>
    <fill>
      <patternFill patternType="solid">
        <fgColor theme="4"/>
        <bgColor indexed="64"/>
      </patternFill>
    </fill>
    <fill>
      <patternFill patternType="solid">
        <fgColor rgb="FFFFC000"/>
        <bgColor indexed="64"/>
      </patternFill>
    </fill>
    <fill>
      <patternFill patternType="solid">
        <fgColor theme="4" tint="0.39997558519241921"/>
        <bgColor indexed="64"/>
      </patternFill>
    </fill>
    <fill>
      <patternFill patternType="solid">
        <fgColor theme="9"/>
        <bgColor indexed="64"/>
      </patternFill>
    </fill>
    <fill>
      <patternFill patternType="solid">
        <fgColor theme="1"/>
        <bgColor indexed="64"/>
      </patternFill>
    </fill>
    <fill>
      <patternFill patternType="solid">
        <fgColor theme="9" tint="0.59999389629810485"/>
        <bgColor theme="9" tint="0.59999389629810485"/>
      </patternFill>
    </fill>
    <fill>
      <patternFill patternType="solid">
        <fgColor theme="9" tint="0.79998168889431442"/>
        <bgColor theme="9" tint="0.79998168889431442"/>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399975585192419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5">
    <xf numFmtId="0" fontId="0" fillId="0" borderId="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5" fillId="0" borderId="0" applyNumberFormat="0" applyFill="0" applyBorder="0" applyAlignment="0" applyProtection="0"/>
  </cellStyleXfs>
  <cellXfs count="112">
    <xf numFmtId="0" fontId="0" fillId="0" borderId="0" xfId="0"/>
    <xf numFmtId="0" fontId="3" fillId="0" borderId="1" xfId="0" applyFont="1" applyBorder="1"/>
    <xf numFmtId="0" fontId="3" fillId="0" borderId="1" xfId="0" applyFont="1" applyBorder="1" applyAlignment="1">
      <alignment horizontal="center"/>
    </xf>
    <xf numFmtId="0" fontId="3" fillId="2" borderId="1" xfId="0" applyFont="1" applyFill="1" applyBorder="1"/>
    <xf numFmtId="0" fontId="2" fillId="2" borderId="1" xfId="0" applyFont="1" applyFill="1" applyBorder="1" applyAlignment="1">
      <alignment horizontal="center"/>
    </xf>
    <xf numFmtId="0" fontId="0" fillId="0" borderId="0" xfId="0" applyAlignment="1">
      <alignment horizontal="center"/>
    </xf>
    <xf numFmtId="0" fontId="3" fillId="3" borderId="3" xfId="0" applyFont="1" applyFill="1" applyBorder="1" applyAlignment="1">
      <alignment horizontal="center"/>
    </xf>
    <xf numFmtId="0" fontId="3" fillId="3" borderId="2" xfId="0" applyFont="1" applyFill="1" applyBorder="1" applyAlignment="1">
      <alignment horizontal="center"/>
    </xf>
    <xf numFmtId="0" fontId="3" fillId="0" borderId="0" xfId="0" applyFont="1" applyAlignment="1">
      <alignment horizontal="center"/>
    </xf>
    <xf numFmtId="0" fontId="3" fillId="0" borderId="1" xfId="0" applyFont="1" applyBorder="1" applyAlignment="1">
      <alignment horizontal="left"/>
    </xf>
    <xf numFmtId="0" fontId="2" fillId="4" borderId="1" xfId="0" applyFont="1" applyFill="1" applyBorder="1" applyAlignment="1">
      <alignment horizontal="center"/>
    </xf>
    <xf numFmtId="0" fontId="4" fillId="0" borderId="0" xfId="0" applyFont="1" applyAlignment="1">
      <alignment horizontal="left"/>
    </xf>
    <xf numFmtId="0" fontId="3" fillId="3" borderId="4" xfId="0" applyFont="1" applyFill="1" applyBorder="1" applyAlignment="1">
      <alignment horizontal="center"/>
    </xf>
    <xf numFmtId="0" fontId="0" fillId="0" borderId="1" xfId="0" applyBorder="1" applyAlignment="1">
      <alignment horizontal="center"/>
    </xf>
    <xf numFmtId="0" fontId="4" fillId="0" borderId="1" xfId="0" applyFont="1" applyBorder="1" applyAlignment="1">
      <alignment horizontal="center"/>
    </xf>
    <xf numFmtId="0" fontId="5" fillId="2" borderId="1" xfId="0" applyFont="1" applyFill="1" applyBorder="1" applyAlignment="1">
      <alignment horizontal="center"/>
    </xf>
    <xf numFmtId="0" fontId="4" fillId="0" borderId="1" xfId="0" applyFont="1" applyBorder="1" applyAlignment="1">
      <alignment horizontal="left"/>
    </xf>
    <xf numFmtId="0" fontId="4" fillId="3" borderId="1" xfId="0" applyFont="1" applyFill="1" applyBorder="1" applyAlignment="1">
      <alignment horizontal="center"/>
    </xf>
    <xf numFmtId="0" fontId="7" fillId="5" borderId="1" xfId="0" applyFont="1" applyFill="1" applyBorder="1" applyAlignment="1">
      <alignment horizontal="center"/>
    </xf>
    <xf numFmtId="0" fontId="0" fillId="0" borderId="0" xfId="0" applyAlignment="1">
      <alignment horizontal="left" indent="1"/>
    </xf>
    <xf numFmtId="0" fontId="6" fillId="8" borderId="1" xfId="0" applyFont="1" applyFill="1" applyBorder="1" applyAlignment="1">
      <alignment horizontal="center"/>
    </xf>
    <xf numFmtId="0" fontId="6" fillId="7" borderId="1" xfId="0" applyFont="1" applyFill="1" applyBorder="1" applyAlignment="1">
      <alignment horizontal="center"/>
    </xf>
    <xf numFmtId="0" fontId="5" fillId="2" borderId="1" xfId="0" applyFont="1" applyFill="1" applyBorder="1" applyAlignment="1">
      <alignment horizontal="left"/>
    </xf>
    <xf numFmtId="0" fontId="0" fillId="0" borderId="0" xfId="0" applyAlignment="1">
      <alignment horizontal="left"/>
    </xf>
    <xf numFmtId="0" fontId="0" fillId="0" borderId="7" xfId="0" applyBorder="1" applyAlignment="1">
      <alignment horizontal="center"/>
    </xf>
    <xf numFmtId="0" fontId="6" fillId="7" borderId="7" xfId="0" applyFont="1" applyFill="1" applyBorder="1" applyAlignment="1">
      <alignment horizontal="center"/>
    </xf>
    <xf numFmtId="164" fontId="6" fillId="7" borderId="1" xfId="0" applyNumberFormat="1" applyFont="1" applyFill="1" applyBorder="1" applyAlignment="1">
      <alignment horizontal="center"/>
    </xf>
    <xf numFmtId="165" fontId="0" fillId="0" borderId="0" xfId="0" applyNumberFormat="1"/>
    <xf numFmtId="9" fontId="0" fillId="0" borderId="0" xfId="3" applyFont="1"/>
    <xf numFmtId="9" fontId="0" fillId="9" borderId="0" xfId="3" applyFont="1" applyFill="1"/>
    <xf numFmtId="166" fontId="0" fillId="0" borderId="0" xfId="2" applyNumberFormat="1" applyFont="1"/>
    <xf numFmtId="49" fontId="0" fillId="0" borderId="0" xfId="0" applyNumberFormat="1"/>
    <xf numFmtId="167" fontId="0" fillId="0" borderId="0" xfId="0" applyNumberFormat="1"/>
    <xf numFmtId="0" fontId="0" fillId="0" borderId="1" xfId="0" applyBorder="1" applyAlignment="1">
      <alignment horizontal="center" vertical="center"/>
    </xf>
    <xf numFmtId="15" fontId="0" fillId="0" borderId="1" xfId="0" applyNumberFormat="1" applyBorder="1" applyAlignment="1">
      <alignment horizontal="center" vertical="center"/>
    </xf>
    <xf numFmtId="0" fontId="6" fillId="2" borderId="1" xfId="0" applyFont="1" applyFill="1" applyBorder="1" applyAlignment="1">
      <alignment horizontal="center" vertical="center"/>
    </xf>
    <xf numFmtId="0" fontId="0" fillId="0" borderId="13" xfId="0" applyBorder="1" applyAlignment="1">
      <alignment horizontal="center" vertical="center"/>
    </xf>
    <xf numFmtId="0" fontId="0" fillId="0" borderId="11"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10" xfId="0" applyBorder="1" applyAlignment="1">
      <alignment horizontal="center" vertical="center"/>
    </xf>
    <xf numFmtId="15" fontId="0" fillId="0" borderId="13" xfId="0" applyNumberFormat="1" applyBorder="1" applyAlignment="1">
      <alignment horizontal="center" vertical="center"/>
    </xf>
    <xf numFmtId="0" fontId="6" fillId="10" borderId="8" xfId="0" applyFont="1" applyFill="1" applyBorder="1" applyAlignment="1">
      <alignment horizontal="center" vertical="center"/>
    </xf>
    <xf numFmtId="0" fontId="6" fillId="10" borderId="12" xfId="0" applyFont="1" applyFill="1" applyBorder="1" applyAlignment="1">
      <alignment horizontal="center" vertical="center"/>
    </xf>
    <xf numFmtId="0" fontId="6" fillId="10" borderId="9" xfId="0" applyFont="1" applyFill="1" applyBorder="1" applyAlignment="1">
      <alignment horizontal="center" vertical="center"/>
    </xf>
    <xf numFmtId="0" fontId="0" fillId="11" borderId="1" xfId="0" applyFill="1" applyBorder="1" applyAlignment="1">
      <alignment horizontal="center" vertical="center"/>
    </xf>
    <xf numFmtId="15" fontId="0" fillId="11" borderId="1" xfId="0" applyNumberFormat="1" applyFill="1" applyBorder="1" applyAlignment="1">
      <alignment horizontal="center" vertical="center"/>
    </xf>
    <xf numFmtId="0" fontId="0" fillId="12" borderId="1" xfId="0" applyFill="1" applyBorder="1" applyAlignment="1">
      <alignment horizontal="center" vertical="center"/>
    </xf>
    <xf numFmtId="15" fontId="0" fillId="12" borderId="1" xfId="0" applyNumberFormat="1" applyFill="1" applyBorder="1" applyAlignment="1">
      <alignment horizontal="center" vertical="center"/>
    </xf>
    <xf numFmtId="0" fontId="8" fillId="10" borderId="1" xfId="0" applyFont="1" applyFill="1" applyBorder="1" applyAlignment="1">
      <alignment horizontal="center" vertical="center"/>
    </xf>
    <xf numFmtId="0" fontId="10" fillId="0" borderId="0" xfId="0" applyFont="1"/>
    <xf numFmtId="0" fontId="3" fillId="13" borderId="1" xfId="0" applyFont="1" applyFill="1" applyBorder="1" applyAlignment="1">
      <alignment horizontal="left"/>
    </xf>
    <xf numFmtId="0" fontId="11" fillId="3" borderId="1" xfId="0" applyFont="1" applyFill="1" applyBorder="1" applyAlignment="1">
      <alignment horizontal="center" vertical="center"/>
    </xf>
    <xf numFmtId="0" fontId="12" fillId="0" borderId="1" xfId="0" applyFont="1" applyBorder="1" applyAlignment="1">
      <alignment horizontal="center" vertical="center"/>
    </xf>
    <xf numFmtId="3" fontId="12" fillId="0" borderId="1" xfId="0" applyNumberFormat="1" applyFont="1" applyBorder="1" applyAlignment="1">
      <alignment horizontal="center" vertical="center"/>
    </xf>
    <xf numFmtId="15" fontId="12" fillId="0" borderId="1" xfId="0" applyNumberFormat="1" applyFont="1" applyBorder="1" applyAlignment="1">
      <alignment horizontal="center" vertical="center"/>
    </xf>
    <xf numFmtId="0" fontId="0" fillId="0" borderId="1" xfId="0" applyBorder="1"/>
    <xf numFmtId="0" fontId="12" fillId="2" borderId="1" xfId="0" applyFont="1" applyFill="1" applyBorder="1" applyAlignment="1">
      <alignment horizontal="center" vertical="center"/>
    </xf>
    <xf numFmtId="0" fontId="12" fillId="6" borderId="1" xfId="0" applyFont="1" applyFill="1" applyBorder="1" applyAlignment="1">
      <alignment horizontal="center" vertical="center"/>
    </xf>
    <xf numFmtId="0" fontId="13" fillId="0" borderId="1" xfId="0" applyFont="1" applyBorder="1" applyAlignment="1">
      <alignment horizontal="center" vertical="center"/>
    </xf>
    <xf numFmtId="0" fontId="12" fillId="0" borderId="0" xfId="0" applyFont="1" applyAlignment="1">
      <alignment horizontal="center" vertical="center"/>
    </xf>
    <xf numFmtId="0" fontId="12" fillId="0" borderId="1" xfId="0" applyFont="1" applyBorder="1" applyAlignment="1">
      <alignment horizontal="center"/>
    </xf>
    <xf numFmtId="0" fontId="3" fillId="0" borderId="1" xfId="0" applyFont="1" applyBorder="1" applyAlignment="1">
      <alignment horizontal="left" indent="2"/>
    </xf>
    <xf numFmtId="0" fontId="3" fillId="0" borderId="0" xfId="0" applyFont="1" applyAlignment="1">
      <alignment horizontal="left" indent="2"/>
    </xf>
    <xf numFmtId="0" fontId="11" fillId="2" borderId="1" xfId="0" applyFont="1" applyFill="1" applyBorder="1" applyAlignment="1">
      <alignment horizontal="center" vertical="center"/>
    </xf>
    <xf numFmtId="0" fontId="6" fillId="2" borderId="0" xfId="0" applyFont="1" applyFill="1"/>
    <xf numFmtId="0" fontId="11" fillId="3" borderId="0" xfId="0" applyFont="1" applyFill="1" applyAlignment="1">
      <alignment horizontal="center" vertical="center"/>
    </xf>
    <xf numFmtId="0" fontId="12" fillId="0" borderId="0" xfId="0" applyFont="1" applyAlignment="1">
      <alignment horizontal="center"/>
    </xf>
    <xf numFmtId="0" fontId="3"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1" fillId="3"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3" fillId="0" borderId="0" xfId="0" applyFont="1"/>
    <xf numFmtId="0" fontId="2"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14" borderId="1" xfId="0" applyFont="1" applyFill="1" applyBorder="1" applyAlignment="1">
      <alignment horizontal="center"/>
    </xf>
    <xf numFmtId="0" fontId="3" fillId="2" borderId="1" xfId="0" applyFont="1" applyFill="1" applyBorder="1" applyAlignment="1">
      <alignment horizontal="center"/>
    </xf>
    <xf numFmtId="0" fontId="3" fillId="0" borderId="1" xfId="0" applyFont="1" applyBorder="1" applyAlignment="1">
      <alignment horizontal="left" indent="1"/>
    </xf>
    <xf numFmtId="0" fontId="11" fillId="15" borderId="13" xfId="0" applyFont="1" applyFill="1" applyBorder="1" applyAlignment="1">
      <alignment horizontal="center" vertical="center" wrapText="1"/>
    </xf>
    <xf numFmtId="9" fontId="11" fillId="15" borderId="0" xfId="0" applyNumberFormat="1" applyFont="1" applyFill="1"/>
    <xf numFmtId="0" fontId="2" fillId="0" borderId="1" xfId="0" applyFont="1" applyBorder="1" applyAlignment="1">
      <alignment horizontal="left"/>
    </xf>
    <xf numFmtId="0" fontId="2" fillId="0" borderId="1" xfId="0" applyFont="1" applyBorder="1" applyAlignment="1">
      <alignment horizontal="center"/>
    </xf>
    <xf numFmtId="0" fontId="6" fillId="0" borderId="0" xfId="0" applyFont="1"/>
    <xf numFmtId="0" fontId="2" fillId="0" borderId="0" xfId="0" applyFont="1"/>
    <xf numFmtId="0" fontId="6" fillId="0" borderId="1" xfId="0" quotePrefix="1" applyFont="1" applyBorder="1"/>
    <xf numFmtId="0" fontId="11" fillId="0" borderId="1" xfId="0" applyFont="1" applyBorder="1" applyAlignment="1">
      <alignment horizontal="center" vertical="center"/>
    </xf>
    <xf numFmtId="14" fontId="2" fillId="2" borderId="1" xfId="0" applyNumberFormat="1" applyFont="1" applyFill="1" applyBorder="1" applyAlignment="1">
      <alignment horizontal="center"/>
    </xf>
    <xf numFmtId="22" fontId="2" fillId="2" borderId="1" xfId="0" applyNumberFormat="1" applyFont="1" applyFill="1" applyBorder="1" applyAlignment="1">
      <alignment horizontal="center"/>
    </xf>
    <xf numFmtId="0" fontId="11" fillId="0" borderId="1" xfId="0" applyFont="1" applyBorder="1" applyAlignment="1">
      <alignment horizontal="center"/>
    </xf>
    <xf numFmtId="21" fontId="12" fillId="0" borderId="1" xfId="0" applyNumberFormat="1" applyFont="1" applyBorder="1" applyAlignment="1">
      <alignment horizontal="center" vertical="center"/>
    </xf>
    <xf numFmtId="0" fontId="14" fillId="0" borderId="1" xfId="0" applyFont="1" applyBorder="1" applyAlignment="1">
      <alignment horizontal="center" vertical="center"/>
    </xf>
    <xf numFmtId="0" fontId="11" fillId="6" borderId="3" xfId="0" applyFont="1" applyFill="1" applyBorder="1" applyAlignment="1">
      <alignment horizontal="center" vertical="center"/>
    </xf>
    <xf numFmtId="0" fontId="11" fillId="6" borderId="2" xfId="0" applyFont="1" applyFill="1" applyBorder="1" applyAlignment="1">
      <alignment horizontal="center" vertical="center"/>
    </xf>
    <xf numFmtId="0" fontId="11" fillId="6" borderId="4" xfId="0" applyFont="1" applyFill="1" applyBorder="1" applyAlignment="1">
      <alignment horizontal="center" vertical="center"/>
    </xf>
    <xf numFmtId="0" fontId="2" fillId="2" borderId="1" xfId="0" applyFont="1" applyFill="1" applyBorder="1" applyAlignment="1">
      <alignment horizontal="center"/>
    </xf>
    <xf numFmtId="0" fontId="3" fillId="3" borderId="3" xfId="0" applyFont="1" applyFill="1" applyBorder="1" applyAlignment="1">
      <alignment horizontal="center"/>
    </xf>
    <xf numFmtId="0" fontId="3" fillId="3" borderId="2" xfId="0" applyFont="1" applyFill="1" applyBorder="1" applyAlignment="1">
      <alignment horizontal="center"/>
    </xf>
    <xf numFmtId="0" fontId="2" fillId="2" borderId="3" xfId="0" applyFont="1" applyFill="1" applyBorder="1" applyAlignment="1">
      <alignment horizontal="center"/>
    </xf>
    <xf numFmtId="0" fontId="2" fillId="2" borderId="2" xfId="0" applyFont="1" applyFill="1" applyBorder="1" applyAlignment="1">
      <alignment horizontal="center"/>
    </xf>
    <xf numFmtId="0" fontId="2" fillId="2" borderId="4" xfId="0" applyFont="1" applyFill="1" applyBorder="1" applyAlignment="1">
      <alignment horizontal="center"/>
    </xf>
    <xf numFmtId="0" fontId="5" fillId="3" borderId="3" xfId="0" applyFont="1" applyFill="1" applyBorder="1" applyAlignment="1">
      <alignment horizontal="center"/>
    </xf>
    <xf numFmtId="0" fontId="5" fillId="3" borderId="2" xfId="0" applyFont="1" applyFill="1" applyBorder="1" applyAlignment="1">
      <alignment horizontal="center"/>
    </xf>
    <xf numFmtId="0" fontId="5" fillId="3" borderId="4" xfId="0" applyFont="1" applyFill="1" applyBorder="1" applyAlignment="1">
      <alignment horizontal="center"/>
    </xf>
    <xf numFmtId="0" fontId="0" fillId="0" borderId="5" xfId="0" applyBorder="1" applyAlignment="1">
      <alignment horizontal="center" vertical="center" textRotation="90"/>
    </xf>
    <xf numFmtId="0" fontId="0" fillId="6" borderId="6" xfId="0" applyFill="1" applyBorder="1" applyAlignment="1">
      <alignment horizontal="center"/>
    </xf>
    <xf numFmtId="0" fontId="6" fillId="9" borderId="6" xfId="0" applyFont="1" applyFill="1" applyBorder="1" applyAlignment="1">
      <alignment horizontal="center"/>
    </xf>
    <xf numFmtId="0" fontId="15" fillId="0" borderId="1" xfId="4" applyBorder="1" applyAlignment="1">
      <alignment horizontal="center"/>
    </xf>
    <xf numFmtId="15" fontId="2" fillId="2" borderId="1" xfId="0" applyNumberFormat="1" applyFont="1" applyFill="1" applyBorder="1" applyAlignment="1">
      <alignment horizontal="center"/>
    </xf>
    <xf numFmtId="20" fontId="2" fillId="2" borderId="1" xfId="0" applyNumberFormat="1" applyFont="1" applyFill="1" applyBorder="1" applyAlignment="1">
      <alignment horizontal="center"/>
    </xf>
    <xf numFmtId="1" fontId="12" fillId="0" borderId="1" xfId="0" applyNumberFormat="1" applyFont="1" applyBorder="1" applyAlignment="1">
      <alignment horizontal="center" vertical="center"/>
    </xf>
    <xf numFmtId="0" fontId="11" fillId="0" borderId="0" xfId="0" applyFont="1" applyBorder="1" applyAlignment="1">
      <alignment horizontal="center"/>
    </xf>
    <xf numFmtId="3" fontId="14" fillId="0" borderId="1" xfId="0" applyNumberFormat="1" applyFont="1" applyBorder="1" applyAlignment="1">
      <alignment horizontal="center" vertical="center"/>
    </xf>
  </cellXfs>
  <cellStyles count="5">
    <cellStyle name="Comma" xfId="2" builtinId="3"/>
    <cellStyle name="Comma 2" xfId="1" xr:uid="{C4252FE2-5F95-42B4-B35E-A0B3140ED354}"/>
    <cellStyle name="Hyperlink" xfId="4" builtinId="8"/>
    <cellStyle name="Normal" xfId="0" builtinId="0"/>
    <cellStyle name="Percent" xfId="3" builtinId="5"/>
  </cellStyles>
  <dxfs count="13">
    <dxf>
      <font>
        <color rgb="FF9C0006"/>
      </font>
      <fill>
        <patternFill>
          <bgColor rgb="FFFFC7CE"/>
        </patternFill>
      </fill>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0" formatCode="d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2</xdr:col>
      <xdr:colOff>547647</xdr:colOff>
      <xdr:row>0</xdr:row>
      <xdr:rowOff>1</xdr:rowOff>
    </xdr:from>
    <xdr:to>
      <xdr:col>7</xdr:col>
      <xdr:colOff>569843</xdr:colOff>
      <xdr:row>4</xdr:row>
      <xdr:rowOff>106019</xdr:rowOff>
    </xdr:to>
    <mc:AlternateContent xmlns:mc="http://schemas.openxmlformats.org/markup-compatibility/2006" xmlns:sle15="http://schemas.microsoft.com/office/drawing/2012/slicer">
      <mc:Choice Requires="sle15">
        <xdr:graphicFrame macro="">
          <xdr:nvGraphicFramePr>
            <xdr:cNvPr id="4" name="Department">
              <a:extLst>
                <a:ext uri="{FF2B5EF4-FFF2-40B4-BE49-F238E27FC236}">
                  <a16:creationId xmlns:a16="http://schemas.microsoft.com/office/drawing/2014/main" id="{21CFCA57-E7FE-FF9A-ABAB-5B5587DCB18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019177" y="1"/>
              <a:ext cx="3156336" cy="90114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650018</xdr:colOff>
      <xdr:row>0</xdr:row>
      <xdr:rowOff>41414</xdr:rowOff>
    </xdr:from>
    <xdr:to>
      <xdr:col>11</xdr:col>
      <xdr:colOff>576469</xdr:colOff>
      <xdr:row>4</xdr:row>
      <xdr:rowOff>132522</xdr:rowOff>
    </xdr:to>
    <mc:AlternateContent xmlns:mc="http://schemas.openxmlformats.org/markup-compatibility/2006" xmlns:sle15="http://schemas.microsoft.com/office/drawing/2012/slicer">
      <mc:Choice Requires="sle15">
        <xdr:graphicFrame macro="">
          <xdr:nvGraphicFramePr>
            <xdr:cNvPr id="5" name="Remarks">
              <a:extLst>
                <a:ext uri="{FF2B5EF4-FFF2-40B4-BE49-F238E27FC236}">
                  <a16:creationId xmlns:a16="http://schemas.microsoft.com/office/drawing/2014/main" id="{EE1373DF-C38C-A3DD-29BA-834EC794AD03}"/>
                </a:ext>
              </a:extLst>
            </xdr:cNvPr>
            <xdr:cNvGraphicFramePr/>
          </xdr:nvGraphicFramePr>
          <xdr:xfrm>
            <a:off x="0" y="0"/>
            <a:ext cx="0" cy="0"/>
          </xdr:xfrm>
          <a:graphic>
            <a:graphicData uri="http://schemas.microsoft.com/office/drawing/2010/slicer">
              <sle:slicer xmlns:sle="http://schemas.microsoft.com/office/drawing/2010/slicer" name="Remarks"/>
            </a:graphicData>
          </a:graphic>
        </xdr:graphicFrame>
      </mc:Choice>
      <mc:Fallback xmlns="">
        <xdr:sp macro="" textlink="">
          <xdr:nvSpPr>
            <xdr:cNvPr id="0" name=""/>
            <xdr:cNvSpPr>
              <a:spLocks noTextEdit="1"/>
            </xdr:cNvSpPr>
          </xdr:nvSpPr>
          <xdr:spPr>
            <a:xfrm>
              <a:off x="6255688" y="41414"/>
              <a:ext cx="3226242" cy="88623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835BC88-A2AD-44A4-81B6-9EF997129A5B}" sourceName="Department">
  <extLst>
    <x:ext xmlns:x15="http://schemas.microsoft.com/office/spreadsheetml/2010/11/main" uri="{2F2917AC-EB37-4324-AD4E-5DD8C200BD13}">
      <x15:tableSlicerCache tableId="6"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 xr10:uid="{230AF8F2-B57A-40D2-A1B4-81CBF553985D}" sourceName="Remarks">
  <extLst>
    <x:ext xmlns:x15="http://schemas.microsoft.com/office/spreadsheetml/2010/11/main" uri="{2F2917AC-EB37-4324-AD4E-5DD8C200BD13}">
      <x15:tableSlicerCache tableId="6"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E6C0EB0-D206-43F4-93DE-2FA5F64056FE}" cache="Slicer_Department" caption="Department" columnCount="4" rowHeight="234950"/>
  <slicer name="Remarks" xr10:uid="{AE672EB3-7D48-40ED-8F03-AABBD092CB2A}" cache="Slicer_Remarks" caption="Remarks"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85EF9A-A081-442F-9D7E-391CE2AA89EE}" name="EmpTable" displayName="EmpTable" ref="D6:J16" totalsRowShown="0" headerRowDxfId="12" dataDxfId="10" headerRowBorderDxfId="11" tableBorderDxfId="9" totalsRowBorderDxfId="8">
  <autoFilter ref="D6:J16" xr:uid="{7585EF9A-A081-442F-9D7E-391CE2AA89EE}"/>
  <tableColumns count="7">
    <tableColumn id="1" xr3:uid="{3E0891FE-10D9-4390-B691-1057E25F7872}" name="Employee" dataDxfId="7"/>
    <tableColumn id="2" xr3:uid="{94236A3C-9817-4758-A2A3-26CD289D6B9D}" name="Department" dataDxfId="6"/>
    <tableColumn id="3" xr3:uid="{8A4BDA03-3E94-4992-BAF9-9D5032F90A93}" name="Age" dataDxfId="5"/>
    <tableColumn id="4" xr3:uid="{DC79832D-9AC0-4393-9345-2DA85F998BBA}" name="Salary" dataDxfId="4"/>
    <tableColumn id="5" xr3:uid="{8134716A-EED6-4520-8BA8-C39AA08BA409}" name="Joining Date" dataDxfId="3"/>
    <tableColumn id="6" xr3:uid="{43D101F8-6B00-4F3F-AA10-464F7162C34E}" name="Performance" dataDxfId="2"/>
    <tableColumn id="7" xr3:uid="{A8F3E343-EE41-4017-9B60-94BB72A38372}" name="Remarks" dataDxfId="1"/>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hyperlink" Target="mailto:Sneha@Verma@Chennai"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zoomScaleNormal="100" zoomScalePageLayoutView="55" workbookViewId="0">
      <selection activeCell="B8" sqref="B8"/>
    </sheetView>
  </sheetViews>
  <sheetFormatPr defaultRowHeight="14.4"/>
  <cols>
    <col min="2" max="2" width="67.88671875" bestFit="1" customWidth="1"/>
  </cols>
  <sheetData>
    <row r="1" spans="1:4" ht="18">
      <c r="A1" s="94" t="s">
        <v>0</v>
      </c>
      <c r="B1" s="94"/>
    </row>
    <row r="2" spans="1:4" ht="18">
      <c r="A2" s="2">
        <v>1</v>
      </c>
      <c r="B2" s="1" t="s">
        <v>1</v>
      </c>
    </row>
    <row r="3" spans="1:4" ht="18">
      <c r="A3" s="2">
        <v>2</v>
      </c>
      <c r="B3" s="1" t="s">
        <v>2</v>
      </c>
      <c r="D3">
        <f>1+2</f>
        <v>3</v>
      </c>
    </row>
    <row r="4" spans="1:4" ht="18">
      <c r="A4" s="2">
        <v>3</v>
      </c>
      <c r="B4" s="1" t="s">
        <v>3</v>
      </c>
    </row>
    <row r="5" spans="1:4" ht="18">
      <c r="A5" s="2">
        <v>4</v>
      </c>
      <c r="B5" s="1" t="s">
        <v>4</v>
      </c>
    </row>
    <row r="6" spans="1:4" ht="18">
      <c r="A6" s="2">
        <v>5</v>
      </c>
      <c r="B6" s="3" t="s">
        <v>5</v>
      </c>
    </row>
    <row r="7" spans="1:4" ht="18">
      <c r="A7" s="2">
        <v>6</v>
      </c>
      <c r="B7" s="3" t="s">
        <v>6</v>
      </c>
    </row>
  </sheetData>
  <mergeCells count="1">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E5B7A-0F0A-4988-A34B-8541A141D4DB}">
  <dimension ref="A1:H23"/>
  <sheetViews>
    <sheetView zoomScale="85" zoomScaleNormal="85" zoomScalePageLayoutView="55" workbookViewId="0">
      <selection activeCell="F5" sqref="F5"/>
    </sheetView>
  </sheetViews>
  <sheetFormatPr defaultRowHeight="14.4"/>
  <cols>
    <col min="1" max="1" width="6.88671875" style="5" customWidth="1"/>
    <col min="2" max="2" width="71.77734375" style="5" customWidth="1"/>
    <col min="3" max="3" width="15.33203125" style="5" customWidth="1"/>
    <col min="4" max="4" width="45.77734375" style="5" bestFit="1" customWidth="1"/>
    <col min="5" max="5" width="8.88671875" style="5"/>
    <col min="6" max="6" width="7.6640625" style="5" bestFit="1" customWidth="1"/>
    <col min="7" max="7" width="23" style="5" bestFit="1" customWidth="1"/>
    <col min="8" max="8" width="9" style="5" bestFit="1" customWidth="1"/>
    <col min="9" max="16384" width="8.88671875" style="5"/>
  </cols>
  <sheetData>
    <row r="1" spans="1:8" ht="18">
      <c r="A1" s="97" t="s">
        <v>0</v>
      </c>
      <c r="B1" s="98"/>
      <c r="C1" s="98"/>
      <c r="D1" s="99"/>
      <c r="F1" s="10" t="s">
        <v>33</v>
      </c>
      <c r="G1" s="10" t="s">
        <v>34</v>
      </c>
      <c r="H1" s="10" t="s">
        <v>36</v>
      </c>
    </row>
    <row r="2" spans="1:8" ht="18">
      <c r="A2" s="8"/>
      <c r="B2" s="95" t="s">
        <v>7</v>
      </c>
      <c r="C2" s="96"/>
      <c r="D2" s="96"/>
      <c r="F2" s="2">
        <v>10001</v>
      </c>
      <c r="G2" s="2" t="s">
        <v>65</v>
      </c>
      <c r="H2" s="2">
        <v>158075</v>
      </c>
    </row>
    <row r="3" spans="1:8" ht="18">
      <c r="A3" s="2"/>
      <c r="B3" s="4" t="s">
        <v>67</v>
      </c>
      <c r="C3" s="4" t="s">
        <v>10</v>
      </c>
      <c r="D3" s="4" t="s">
        <v>66</v>
      </c>
      <c r="F3" s="2">
        <v>10002</v>
      </c>
      <c r="G3" s="2" t="s">
        <v>40</v>
      </c>
      <c r="H3" s="2">
        <v>40713</v>
      </c>
    </row>
    <row r="4" spans="1:8" ht="18">
      <c r="A4" s="2">
        <v>1</v>
      </c>
      <c r="B4" s="2" t="s">
        <v>8</v>
      </c>
      <c r="C4" s="2"/>
      <c r="D4" s="2" t="s">
        <v>11</v>
      </c>
      <c r="F4" s="2">
        <v>10003</v>
      </c>
      <c r="G4" s="2" t="s">
        <v>42</v>
      </c>
      <c r="H4" s="2">
        <v>55568</v>
      </c>
    </row>
    <row r="5" spans="1:8" ht="18">
      <c r="A5" s="2">
        <v>2</v>
      </c>
      <c r="B5" s="2" t="s">
        <v>17</v>
      </c>
      <c r="C5" s="2"/>
      <c r="D5" s="2" t="s">
        <v>18</v>
      </c>
      <c r="F5" s="2">
        <v>10004</v>
      </c>
      <c r="G5" s="2" t="s">
        <v>43</v>
      </c>
      <c r="H5" s="2">
        <v>324002</v>
      </c>
    </row>
    <row r="6" spans="1:8" ht="18">
      <c r="A6" s="2">
        <v>3</v>
      </c>
      <c r="B6" s="2" t="s">
        <v>63</v>
      </c>
      <c r="C6" s="2"/>
      <c r="D6" s="2" t="s">
        <v>12</v>
      </c>
      <c r="F6" s="2">
        <v>10005</v>
      </c>
      <c r="G6" s="2" t="s">
        <v>44</v>
      </c>
      <c r="H6" s="2">
        <v>413737</v>
      </c>
    </row>
    <row r="7" spans="1:8" ht="18">
      <c r="A7" s="2">
        <v>4</v>
      </c>
      <c r="B7" s="2" t="s">
        <v>9</v>
      </c>
      <c r="C7" s="2"/>
      <c r="D7" s="2" t="s">
        <v>13</v>
      </c>
    </row>
    <row r="8" spans="1:8" ht="18">
      <c r="A8" s="2">
        <v>5</v>
      </c>
      <c r="B8" s="2" t="s">
        <v>76</v>
      </c>
      <c r="C8" s="2"/>
      <c r="D8" s="2" t="s">
        <v>14</v>
      </c>
    </row>
    <row r="9" spans="1:8" ht="18">
      <c r="A9" s="2">
        <v>6</v>
      </c>
      <c r="B9" s="2" t="s">
        <v>15</v>
      </c>
      <c r="C9" s="2"/>
      <c r="D9" s="2" t="s">
        <v>16</v>
      </c>
    </row>
    <row r="10" spans="1:8" ht="18">
      <c r="A10" s="2"/>
      <c r="B10" s="6" t="s">
        <v>20</v>
      </c>
      <c r="C10" s="7"/>
      <c r="D10" s="12"/>
    </row>
    <row r="11" spans="1:8" ht="18">
      <c r="A11" s="2">
        <v>7</v>
      </c>
      <c r="B11" s="2" t="s">
        <v>21</v>
      </c>
      <c r="C11" s="2"/>
      <c r="D11" s="2" t="s">
        <v>22</v>
      </c>
    </row>
    <row r="12" spans="1:8" ht="18">
      <c r="A12" s="2">
        <v>8</v>
      </c>
      <c r="B12" s="2" t="s">
        <v>24</v>
      </c>
      <c r="C12" s="2"/>
      <c r="D12" s="2" t="s">
        <v>23</v>
      </c>
    </row>
    <row r="13" spans="1:8" ht="18">
      <c r="A13" s="2">
        <v>9</v>
      </c>
      <c r="B13" s="2" t="s">
        <v>29</v>
      </c>
      <c r="C13" s="2"/>
      <c r="D13" s="2" t="s">
        <v>30</v>
      </c>
    </row>
    <row r="14" spans="1:8" ht="18">
      <c r="A14" s="2">
        <v>10</v>
      </c>
      <c r="B14" s="2" t="s">
        <v>56</v>
      </c>
      <c r="C14" s="2"/>
      <c r="D14" s="2" t="s">
        <v>31</v>
      </c>
    </row>
    <row r="15" spans="1:8" ht="18">
      <c r="A15" s="2">
        <v>11</v>
      </c>
      <c r="B15" s="2" t="s">
        <v>57</v>
      </c>
      <c r="C15" s="2"/>
      <c r="D15" s="2" t="s">
        <v>32</v>
      </c>
    </row>
    <row r="16" spans="1:8" ht="18">
      <c r="A16" s="2">
        <v>12</v>
      </c>
      <c r="B16" s="2" t="s">
        <v>26</v>
      </c>
      <c r="C16" s="2"/>
      <c r="D16" s="2" t="s">
        <v>58</v>
      </c>
    </row>
    <row r="17" spans="1:7" ht="18">
      <c r="A17" s="2">
        <v>13</v>
      </c>
      <c r="B17" s="2" t="s">
        <v>25</v>
      </c>
      <c r="C17" s="2"/>
      <c r="D17" s="2" t="s">
        <v>59</v>
      </c>
      <c r="F17" s="5" t="s">
        <v>62</v>
      </c>
      <c r="G17" s="5" t="s">
        <v>77</v>
      </c>
    </row>
    <row r="18" spans="1:7" ht="18">
      <c r="A18" s="2">
        <v>14</v>
      </c>
      <c r="B18" s="2" t="s">
        <v>27</v>
      </c>
      <c r="C18" s="2"/>
      <c r="D18" s="2" t="s">
        <v>60</v>
      </c>
      <c r="F18" s="5">
        <v>10001</v>
      </c>
    </row>
    <row r="19" spans="1:7" ht="18">
      <c r="A19" s="2">
        <v>15</v>
      </c>
      <c r="B19" s="2" t="s">
        <v>28</v>
      </c>
      <c r="C19" s="2"/>
      <c r="D19" s="2" t="s">
        <v>61</v>
      </c>
    </row>
    <row r="20" spans="1:7" ht="18">
      <c r="A20" s="2">
        <v>16</v>
      </c>
      <c r="B20" s="2" t="s">
        <v>74</v>
      </c>
      <c r="C20" s="2"/>
      <c r="D20" s="2" t="s">
        <v>75</v>
      </c>
    </row>
    <row r="21" spans="1:7" ht="18">
      <c r="A21" s="2"/>
      <c r="B21" s="9" t="s">
        <v>19</v>
      </c>
      <c r="C21" s="9"/>
      <c r="D21" s="2"/>
    </row>
    <row r="23" spans="1:7" ht="15.6">
      <c r="B23" s="11" t="s">
        <v>64</v>
      </c>
      <c r="C23" s="11"/>
    </row>
  </sheetData>
  <mergeCells count="2">
    <mergeCell ref="B2:D2"/>
    <mergeCell ref="A1:D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AC0E-8EE1-4D8A-83D9-3E02020A9367}">
  <dimension ref="A1:B18"/>
  <sheetViews>
    <sheetView workbookViewId="0">
      <selection activeCell="B5" sqref="B5"/>
    </sheetView>
  </sheetViews>
  <sheetFormatPr defaultRowHeight="14.4"/>
  <cols>
    <col min="1" max="1" width="3.6640625" bestFit="1" customWidth="1"/>
    <col min="2" max="2" width="73.33203125" bestFit="1" customWidth="1"/>
  </cols>
  <sheetData>
    <row r="1" spans="1:2" ht="18">
      <c r="A1" s="97" t="s">
        <v>0</v>
      </c>
      <c r="B1" s="98"/>
    </row>
    <row r="2" spans="1:2" ht="18">
      <c r="A2" s="96" t="s">
        <v>7</v>
      </c>
      <c r="B2" s="96"/>
    </row>
    <row r="3" spans="1:2" ht="18">
      <c r="A3" s="2">
        <v>1</v>
      </c>
      <c r="B3" s="2" t="s">
        <v>8</v>
      </c>
    </row>
    <row r="4" spans="1:2" ht="18">
      <c r="A4" s="2">
        <v>2</v>
      </c>
      <c r="B4" s="2" t="s">
        <v>17</v>
      </c>
    </row>
    <row r="5" spans="1:2" ht="18">
      <c r="A5" s="2">
        <v>3</v>
      </c>
      <c r="B5" s="2" t="s">
        <v>78</v>
      </c>
    </row>
    <row r="6" spans="1:2" ht="18">
      <c r="A6" s="2">
        <v>4</v>
      </c>
      <c r="B6" s="2" t="s">
        <v>9</v>
      </c>
    </row>
    <row r="7" spans="1:2" ht="18">
      <c r="A7" s="2">
        <v>5</v>
      </c>
      <c r="B7" s="2" t="s">
        <v>76</v>
      </c>
    </row>
    <row r="8" spans="1:2" ht="18">
      <c r="A8" s="2">
        <v>6</v>
      </c>
      <c r="B8" s="2" t="s">
        <v>15</v>
      </c>
    </row>
    <row r="9" spans="1:2" ht="18">
      <c r="A9" s="2">
        <v>7</v>
      </c>
      <c r="B9" s="2" t="s">
        <v>21</v>
      </c>
    </row>
    <row r="10" spans="1:2" ht="18">
      <c r="A10" s="2">
        <v>8</v>
      </c>
      <c r="B10" s="2" t="s">
        <v>24</v>
      </c>
    </row>
    <row r="11" spans="1:2" ht="18">
      <c r="A11" s="2">
        <v>9</v>
      </c>
      <c r="B11" s="2" t="s">
        <v>29</v>
      </c>
    </row>
    <row r="12" spans="1:2" ht="18">
      <c r="A12" s="2">
        <v>10</v>
      </c>
      <c r="B12" s="2" t="s">
        <v>56</v>
      </c>
    </row>
    <row r="13" spans="1:2" ht="18">
      <c r="A13" s="2">
        <v>11</v>
      </c>
      <c r="B13" s="2" t="s">
        <v>57</v>
      </c>
    </row>
    <row r="14" spans="1:2" ht="18">
      <c r="A14" s="2">
        <v>12</v>
      </c>
      <c r="B14" s="2" t="s">
        <v>26</v>
      </c>
    </row>
    <row r="15" spans="1:2" ht="18">
      <c r="A15" s="2">
        <v>13</v>
      </c>
      <c r="B15" s="2" t="s">
        <v>25</v>
      </c>
    </row>
    <row r="16" spans="1:2" ht="18">
      <c r="A16" s="2">
        <v>14</v>
      </c>
      <c r="B16" s="2" t="s">
        <v>27</v>
      </c>
    </row>
    <row r="17" spans="1:2" ht="18">
      <c r="A17" s="2">
        <v>15</v>
      </c>
      <c r="B17" s="2" t="s">
        <v>28</v>
      </c>
    </row>
    <row r="18" spans="1:2" ht="18">
      <c r="A18" s="2">
        <v>16</v>
      </c>
      <c r="B18" s="2" t="s">
        <v>74</v>
      </c>
    </row>
  </sheetData>
  <mergeCells count="2">
    <mergeCell ref="A1:B1"/>
    <mergeCell ref="A2:B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20924-328D-4DF2-B2D2-97117006F39A}">
  <dimension ref="A1:J18"/>
  <sheetViews>
    <sheetView zoomScale="115" zoomScaleNormal="115" zoomScalePageLayoutView="55" workbookViewId="0">
      <selection activeCell="G2" sqref="G2:G15"/>
    </sheetView>
  </sheetViews>
  <sheetFormatPr defaultRowHeight="15" customHeight="1"/>
  <cols>
    <col min="1" max="1" width="6.109375" customWidth="1"/>
    <col min="2" max="2" width="51.88671875" customWidth="1"/>
    <col min="3" max="3" width="16.33203125" bestFit="1" customWidth="1"/>
    <col min="4" max="4" width="10.5546875" customWidth="1"/>
    <col min="6" max="6" width="6.21875" bestFit="1" customWidth="1"/>
    <col min="7" max="7" width="18.33203125" bestFit="1" customWidth="1"/>
    <col min="8" max="8" width="16.21875" bestFit="1" customWidth="1"/>
    <col min="9" max="9" width="7.21875" bestFit="1" customWidth="1"/>
    <col min="10" max="10" width="5.88671875" bestFit="1" customWidth="1"/>
  </cols>
  <sheetData>
    <row r="1" spans="1:10" ht="15" customHeight="1">
      <c r="F1" s="104" t="s">
        <v>93</v>
      </c>
      <c r="G1" s="104"/>
      <c r="H1" s="104"/>
      <c r="I1" s="104"/>
      <c r="J1" s="104"/>
    </row>
    <row r="2" spans="1:10" ht="15" customHeight="1">
      <c r="A2" s="15"/>
      <c r="B2" s="15" t="s">
        <v>0</v>
      </c>
      <c r="C2" s="15" t="s">
        <v>79</v>
      </c>
      <c r="F2" s="18" t="s">
        <v>33</v>
      </c>
      <c r="G2" s="18" t="s">
        <v>34</v>
      </c>
      <c r="H2" s="18" t="s">
        <v>35</v>
      </c>
      <c r="I2" s="18" t="s">
        <v>36</v>
      </c>
      <c r="J2" s="18" t="s">
        <v>37</v>
      </c>
    </row>
    <row r="3" spans="1:10" ht="14.4" customHeight="1">
      <c r="A3" s="100" t="s">
        <v>91</v>
      </c>
      <c r="B3" s="101"/>
      <c r="C3" s="102"/>
      <c r="E3" s="103" t="s">
        <v>92</v>
      </c>
      <c r="F3" s="13">
        <v>10001</v>
      </c>
      <c r="G3" s="13" t="s">
        <v>85</v>
      </c>
      <c r="H3" s="13" t="s">
        <v>38</v>
      </c>
      <c r="I3" s="13">
        <v>158075</v>
      </c>
      <c r="J3" s="13" t="s">
        <v>39</v>
      </c>
    </row>
    <row r="4" spans="1:10" ht="15" customHeight="1">
      <c r="A4" s="14">
        <v>1</v>
      </c>
      <c r="B4" s="16" t="s">
        <v>70</v>
      </c>
      <c r="C4" s="14"/>
      <c r="E4" s="103"/>
      <c r="F4" s="13">
        <v>10002</v>
      </c>
      <c r="G4" s="13" t="s">
        <v>40</v>
      </c>
      <c r="H4" s="13" t="s">
        <v>41</v>
      </c>
      <c r="I4" s="13">
        <v>40713</v>
      </c>
      <c r="J4" s="13" t="s">
        <v>39</v>
      </c>
    </row>
    <row r="5" spans="1:10" ht="15" customHeight="1">
      <c r="A5" s="14">
        <v>2</v>
      </c>
      <c r="B5" s="16" t="s">
        <v>94</v>
      </c>
      <c r="C5" s="14"/>
      <c r="E5" s="103"/>
      <c r="F5" s="13">
        <v>10003</v>
      </c>
      <c r="G5" s="13" t="s">
        <v>42</v>
      </c>
      <c r="H5" s="13" t="s">
        <v>41</v>
      </c>
      <c r="I5" s="13">
        <v>55568</v>
      </c>
      <c r="J5" s="13" t="s">
        <v>39</v>
      </c>
    </row>
    <row r="6" spans="1:10" ht="15" customHeight="1">
      <c r="A6" s="14"/>
      <c r="B6" s="16" t="s">
        <v>82</v>
      </c>
      <c r="C6" s="17" t="s">
        <v>89</v>
      </c>
      <c r="E6" s="103"/>
      <c r="F6" s="13">
        <v>10004</v>
      </c>
      <c r="G6" s="13" t="s">
        <v>43</v>
      </c>
      <c r="H6" s="13" t="s">
        <v>41</v>
      </c>
      <c r="I6" s="13">
        <v>324002</v>
      </c>
      <c r="J6" s="13" t="s">
        <v>39</v>
      </c>
    </row>
    <row r="7" spans="1:10" ht="15.6" customHeight="1">
      <c r="A7" s="14"/>
      <c r="B7" s="16" t="s">
        <v>88</v>
      </c>
      <c r="C7" s="17" t="s">
        <v>90</v>
      </c>
      <c r="F7" s="13">
        <v>10005</v>
      </c>
      <c r="G7" s="13" t="s">
        <v>44</v>
      </c>
      <c r="H7" s="13" t="s">
        <v>41</v>
      </c>
      <c r="I7" s="13">
        <v>413737</v>
      </c>
      <c r="J7" s="13" t="s">
        <v>39</v>
      </c>
    </row>
    <row r="8" spans="1:10" ht="15" customHeight="1">
      <c r="A8" s="14"/>
      <c r="B8" s="16" t="s">
        <v>95</v>
      </c>
      <c r="C8" s="14" t="s">
        <v>83</v>
      </c>
      <c r="F8" s="13">
        <v>10006</v>
      </c>
      <c r="G8" s="13" t="s">
        <v>45</v>
      </c>
      <c r="H8" s="13" t="s">
        <v>46</v>
      </c>
      <c r="I8" s="13">
        <v>124626</v>
      </c>
      <c r="J8" s="13" t="s">
        <v>39</v>
      </c>
    </row>
    <row r="9" spans="1:10" ht="15" customHeight="1">
      <c r="A9" s="14">
        <v>3</v>
      </c>
      <c r="B9" s="16" t="s">
        <v>80</v>
      </c>
      <c r="C9" s="14"/>
      <c r="F9" s="13">
        <v>10007</v>
      </c>
      <c r="G9" s="13" t="s">
        <v>47</v>
      </c>
      <c r="H9" s="13" t="s">
        <v>46</v>
      </c>
      <c r="I9" s="13">
        <v>179583</v>
      </c>
      <c r="J9" s="13" t="s">
        <v>39</v>
      </c>
    </row>
    <row r="10" spans="1:10" ht="15" customHeight="1">
      <c r="A10" s="14"/>
      <c r="B10" s="16" t="s">
        <v>81</v>
      </c>
      <c r="C10" s="13"/>
      <c r="F10" s="13">
        <v>10008</v>
      </c>
      <c r="G10" s="13" t="s">
        <v>48</v>
      </c>
      <c r="H10" s="13" t="s">
        <v>38</v>
      </c>
      <c r="I10" s="13">
        <v>163750</v>
      </c>
      <c r="J10" s="13" t="s">
        <v>49</v>
      </c>
    </row>
    <row r="11" spans="1:10" ht="15" customHeight="1">
      <c r="A11" s="14"/>
      <c r="B11" s="16" t="s">
        <v>69</v>
      </c>
      <c r="C11" s="14"/>
      <c r="F11" s="13">
        <v>10009</v>
      </c>
      <c r="G11" s="13" t="s">
        <v>50</v>
      </c>
      <c r="H11" s="13" t="s">
        <v>41</v>
      </c>
      <c r="I11" s="13">
        <v>97898</v>
      </c>
      <c r="J11" s="13" t="s">
        <v>49</v>
      </c>
    </row>
    <row r="12" spans="1:10" ht="15.6">
      <c r="A12" s="14"/>
      <c r="B12" s="16" t="s">
        <v>71</v>
      </c>
      <c r="C12" s="14"/>
      <c r="F12" s="13">
        <v>10010</v>
      </c>
      <c r="G12" s="13" t="s">
        <v>51</v>
      </c>
      <c r="H12" s="13" t="s">
        <v>41</v>
      </c>
      <c r="I12" s="13">
        <v>222153</v>
      </c>
      <c r="J12" s="13" t="s">
        <v>49</v>
      </c>
    </row>
    <row r="13" spans="1:10" ht="15.6">
      <c r="A13" s="14"/>
      <c r="B13" s="16" t="s">
        <v>72</v>
      </c>
      <c r="C13" s="14"/>
      <c r="F13" s="13">
        <v>10011</v>
      </c>
      <c r="G13" s="13" t="s">
        <v>52</v>
      </c>
      <c r="H13" s="13" t="s">
        <v>41</v>
      </c>
      <c r="I13" s="13">
        <v>403604</v>
      </c>
      <c r="J13" s="13" t="s">
        <v>49</v>
      </c>
    </row>
    <row r="14" spans="1:10" ht="15.6">
      <c r="A14" s="14"/>
      <c r="B14" s="16" t="s">
        <v>73</v>
      </c>
      <c r="C14" s="14"/>
      <c r="F14" s="13">
        <v>10012</v>
      </c>
      <c r="G14" s="13" t="s">
        <v>53</v>
      </c>
      <c r="H14" s="13" t="s">
        <v>41</v>
      </c>
      <c r="I14" s="13">
        <v>216228</v>
      </c>
      <c r="J14" s="13" t="s">
        <v>54</v>
      </c>
    </row>
    <row r="15" spans="1:10" ht="15.6">
      <c r="A15" s="14"/>
      <c r="B15" s="16" t="s">
        <v>68</v>
      </c>
      <c r="C15" s="14"/>
      <c r="F15" s="13">
        <v>10013</v>
      </c>
      <c r="G15" s="13" t="s">
        <v>55</v>
      </c>
      <c r="H15" s="13" t="s">
        <v>41</v>
      </c>
      <c r="I15" s="13">
        <v>177897</v>
      </c>
      <c r="J15" s="13" t="s">
        <v>54</v>
      </c>
    </row>
    <row r="16" spans="1:10" ht="15" customHeight="1">
      <c r="A16" s="14"/>
      <c r="B16" s="16" t="s">
        <v>86</v>
      </c>
      <c r="C16" s="14"/>
    </row>
    <row r="17" spans="1:7" ht="15" customHeight="1">
      <c r="A17" s="14"/>
      <c r="B17" s="16" t="s">
        <v>87</v>
      </c>
      <c r="C17" s="14" t="s">
        <v>84</v>
      </c>
      <c r="G17" s="16" t="s">
        <v>88</v>
      </c>
    </row>
    <row r="18" spans="1:7" ht="15" customHeight="1">
      <c r="G18" s="19"/>
    </row>
  </sheetData>
  <mergeCells count="3">
    <mergeCell ref="A3:C3"/>
    <mergeCell ref="E3:E6"/>
    <mergeCell ref="F1:J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DE15A-12DC-45E0-9283-3B47338F3FAC}">
  <dimension ref="A1:W15"/>
  <sheetViews>
    <sheetView zoomScaleNormal="100" workbookViewId="0">
      <selection sqref="A1:B3"/>
    </sheetView>
  </sheetViews>
  <sheetFormatPr defaultRowHeight="14.4"/>
  <cols>
    <col min="1" max="1" width="10.44140625" customWidth="1"/>
    <col min="2" max="2" width="44.21875" style="23" customWidth="1"/>
    <col min="4" max="4" width="27" bestFit="1" customWidth="1"/>
    <col min="5" max="5" width="5.5546875" bestFit="1" customWidth="1"/>
    <col min="6" max="6" width="7.33203125" bestFit="1" customWidth="1"/>
    <col min="7" max="7" width="6.88671875" bestFit="1" customWidth="1"/>
    <col min="8" max="8" width="8.88671875" customWidth="1"/>
  </cols>
  <sheetData>
    <row r="1" spans="1:23" ht="15.6">
      <c r="A1" s="15" t="s">
        <v>117</v>
      </c>
      <c r="B1" s="22" t="s">
        <v>0</v>
      </c>
      <c r="D1" s="105" t="s">
        <v>104</v>
      </c>
      <c r="E1" s="105"/>
      <c r="F1" s="105"/>
      <c r="G1" s="105"/>
      <c r="H1" s="105"/>
      <c r="I1" t="s">
        <v>122</v>
      </c>
      <c r="O1" s="105" t="s">
        <v>113</v>
      </c>
      <c r="P1" s="105"/>
      <c r="Q1" s="105"/>
      <c r="R1" s="105"/>
      <c r="T1" s="105" t="s">
        <v>116</v>
      </c>
      <c r="U1" s="105"/>
      <c r="V1" s="105"/>
      <c r="W1" s="105"/>
    </row>
    <row r="2" spans="1:23" ht="15.6">
      <c r="A2" s="14">
        <v>1</v>
      </c>
      <c r="B2" s="16" t="s">
        <v>118</v>
      </c>
      <c r="D2" s="20" t="s">
        <v>96</v>
      </c>
      <c r="E2" s="20" t="s">
        <v>97</v>
      </c>
      <c r="F2" s="20" t="s">
        <v>98</v>
      </c>
      <c r="G2" s="20" t="s">
        <v>99</v>
      </c>
      <c r="H2" s="21" t="s">
        <v>104</v>
      </c>
      <c r="I2" s="21" t="s">
        <v>104</v>
      </c>
      <c r="J2" s="21" t="s">
        <v>104</v>
      </c>
      <c r="K2" s="25" t="s">
        <v>120</v>
      </c>
      <c r="L2" s="25" t="s">
        <v>120</v>
      </c>
      <c r="O2" s="20" t="s">
        <v>105</v>
      </c>
      <c r="P2" s="20" t="s">
        <v>106</v>
      </c>
      <c r="Q2" s="20" t="s">
        <v>107</v>
      </c>
      <c r="R2" s="20" t="s">
        <v>114</v>
      </c>
      <c r="T2" s="20" t="s">
        <v>105</v>
      </c>
      <c r="U2" s="20" t="s">
        <v>114</v>
      </c>
      <c r="V2" s="20" t="s">
        <v>107</v>
      </c>
      <c r="W2" s="20" t="s">
        <v>115</v>
      </c>
    </row>
    <row r="3" spans="1:23" ht="15.6">
      <c r="A3" s="14">
        <v>2</v>
      </c>
      <c r="B3" s="16" t="s">
        <v>119</v>
      </c>
      <c r="D3" s="13" t="s">
        <v>100</v>
      </c>
      <c r="E3" s="13">
        <v>100</v>
      </c>
      <c r="F3" s="13">
        <v>78</v>
      </c>
      <c r="G3" s="13">
        <v>90</v>
      </c>
      <c r="H3" s="26">
        <f>E3+F3+G3</f>
        <v>268</v>
      </c>
      <c r="I3">
        <f>SUM(E3,F3,G3)</f>
        <v>268</v>
      </c>
      <c r="J3">
        <f>SUM(E3:G3)</f>
        <v>268</v>
      </c>
      <c r="K3">
        <f>300-J3</f>
        <v>32</v>
      </c>
      <c r="L3">
        <f>300-SUM(E3:G3)</f>
        <v>32</v>
      </c>
      <c r="O3" s="13" t="s">
        <v>108</v>
      </c>
      <c r="P3" s="13">
        <v>10</v>
      </c>
      <c r="Q3" s="13">
        <v>5</v>
      </c>
      <c r="R3" s="21">
        <f>P3*Q3</f>
        <v>50</v>
      </c>
      <c r="T3" s="13" t="s">
        <v>108</v>
      </c>
      <c r="U3" s="13">
        <v>50</v>
      </c>
      <c r="V3" s="13">
        <v>5</v>
      </c>
      <c r="W3" s="21">
        <f>U3/V3</f>
        <v>10</v>
      </c>
    </row>
    <row r="4" spans="1:23">
      <c r="D4" s="13" t="s">
        <v>101</v>
      </c>
      <c r="E4" s="13">
        <v>92</v>
      </c>
      <c r="F4" s="13">
        <v>88</v>
      </c>
      <c r="G4" s="13">
        <v>84</v>
      </c>
      <c r="H4" s="21">
        <f t="shared" ref="H4:H6" si="0">E4+F4+G4</f>
        <v>264</v>
      </c>
      <c r="I4">
        <f t="shared" ref="I4:I6" si="1">SUM(E4,F4,G4)</f>
        <v>264</v>
      </c>
      <c r="J4">
        <f t="shared" ref="J4:J6" si="2">SUM(E4:G4)</f>
        <v>264</v>
      </c>
      <c r="K4">
        <f t="shared" ref="K4:K6" si="3">300-J4</f>
        <v>36</v>
      </c>
      <c r="L4">
        <f t="shared" ref="L4:L6" si="4">300-SUM(E4:G4)</f>
        <v>36</v>
      </c>
      <c r="O4" s="13" t="s">
        <v>109</v>
      </c>
      <c r="P4" s="13">
        <v>8</v>
      </c>
      <c r="Q4" s="13">
        <v>4</v>
      </c>
      <c r="R4" s="21">
        <f>P4*Q4</f>
        <v>32</v>
      </c>
      <c r="T4" s="13" t="s">
        <v>109</v>
      </c>
      <c r="U4" s="13">
        <v>32</v>
      </c>
      <c r="V4" s="13">
        <v>4</v>
      </c>
      <c r="W4" s="21">
        <f t="shared" ref="W4:W7" si="5">U4/V4</f>
        <v>8</v>
      </c>
    </row>
    <row r="5" spans="1:23">
      <c r="D5" s="13" t="s">
        <v>102</v>
      </c>
      <c r="E5" s="13">
        <v>76</v>
      </c>
      <c r="F5" s="13">
        <v>80</v>
      </c>
      <c r="G5" s="13">
        <v>70</v>
      </c>
      <c r="H5" s="21">
        <f t="shared" si="0"/>
        <v>226</v>
      </c>
      <c r="I5">
        <f t="shared" si="1"/>
        <v>226</v>
      </c>
      <c r="J5">
        <f t="shared" si="2"/>
        <v>226</v>
      </c>
      <c r="K5">
        <f t="shared" si="3"/>
        <v>74</v>
      </c>
      <c r="L5">
        <f t="shared" si="4"/>
        <v>74</v>
      </c>
      <c r="O5" s="13" t="s">
        <v>110</v>
      </c>
      <c r="P5" s="13">
        <v>15</v>
      </c>
      <c r="Q5" s="13">
        <v>6</v>
      </c>
      <c r="R5" s="21">
        <f>P5*Q5</f>
        <v>90</v>
      </c>
      <c r="T5" s="13" t="s">
        <v>110</v>
      </c>
      <c r="U5" s="13">
        <v>90</v>
      </c>
      <c r="V5" s="13">
        <v>6</v>
      </c>
      <c r="W5" s="21">
        <f t="shared" si="5"/>
        <v>15</v>
      </c>
    </row>
    <row r="6" spans="1:23">
      <c r="D6" s="13" t="s">
        <v>103</v>
      </c>
      <c r="E6" s="13">
        <v>89</v>
      </c>
      <c r="F6" s="13">
        <v>95</v>
      </c>
      <c r="G6" s="13">
        <v>92</v>
      </c>
      <c r="H6" s="21">
        <f t="shared" si="0"/>
        <v>276</v>
      </c>
      <c r="I6">
        <f t="shared" si="1"/>
        <v>276</v>
      </c>
      <c r="J6">
        <f t="shared" si="2"/>
        <v>276</v>
      </c>
      <c r="K6">
        <f t="shared" si="3"/>
        <v>24</v>
      </c>
      <c r="L6">
        <f t="shared" si="4"/>
        <v>24</v>
      </c>
      <c r="O6" s="13" t="s">
        <v>111</v>
      </c>
      <c r="P6" s="13">
        <v>12</v>
      </c>
      <c r="Q6" s="13">
        <v>7</v>
      </c>
      <c r="R6" s="21">
        <f>P6*Q6</f>
        <v>84</v>
      </c>
      <c r="T6" s="13" t="s">
        <v>111</v>
      </c>
      <c r="U6" s="13">
        <v>84</v>
      </c>
      <c r="V6" s="13">
        <v>7</v>
      </c>
      <c r="W6" s="21">
        <f t="shared" si="5"/>
        <v>12</v>
      </c>
    </row>
    <row r="7" spans="1:23">
      <c r="D7" s="21" t="s">
        <v>104</v>
      </c>
      <c r="E7" s="21">
        <f>SUM(E3:E6)</f>
        <v>357</v>
      </c>
      <c r="F7" s="21">
        <f t="shared" ref="F7:G7" si="6">SUM(F3:F6)</f>
        <v>341</v>
      </c>
      <c r="G7" s="21">
        <f t="shared" si="6"/>
        <v>336</v>
      </c>
      <c r="H7" s="21"/>
      <c r="O7" s="13" t="s">
        <v>112</v>
      </c>
      <c r="P7" s="13">
        <v>5</v>
      </c>
      <c r="Q7" s="13">
        <v>10</v>
      </c>
      <c r="R7" s="21">
        <f>P7*Q7</f>
        <v>50</v>
      </c>
      <c r="T7" s="13" t="s">
        <v>112</v>
      </c>
      <c r="U7" s="13">
        <v>50</v>
      </c>
      <c r="V7" s="13">
        <v>10</v>
      </c>
      <c r="W7" s="21">
        <f t="shared" si="5"/>
        <v>5</v>
      </c>
    </row>
    <row r="8" spans="1:23">
      <c r="D8" s="24" t="s">
        <v>121</v>
      </c>
    </row>
    <row r="10" spans="1:23">
      <c r="D10" s="32">
        <v>46078</v>
      </c>
      <c r="F10" s="29">
        <v>0.45</v>
      </c>
      <c r="H10" s="31">
        <v>8956</v>
      </c>
    </row>
    <row r="11" spans="1:23">
      <c r="F11" s="29">
        <v>0.52</v>
      </c>
    </row>
    <row r="12" spans="1:23">
      <c r="D12" s="27">
        <v>54862</v>
      </c>
      <c r="F12" s="29">
        <v>0.89</v>
      </c>
    </row>
    <row r="13" spans="1:23">
      <c r="F13" s="29">
        <v>0.52</v>
      </c>
    </row>
    <row r="14" spans="1:23">
      <c r="D14" s="28">
        <v>5623</v>
      </c>
    </row>
    <row r="15" spans="1:23">
      <c r="D15" s="30">
        <v>789654</v>
      </c>
    </row>
  </sheetData>
  <mergeCells count="3">
    <mergeCell ref="O1:R1"/>
    <mergeCell ref="T1:W1"/>
    <mergeCell ref="D1:H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39172-825D-4945-9C45-0E227ED2767A}">
  <dimension ref="A1:G11"/>
  <sheetViews>
    <sheetView zoomScale="145" zoomScaleNormal="145" workbookViewId="0">
      <selection sqref="A1:G11"/>
    </sheetView>
  </sheetViews>
  <sheetFormatPr defaultRowHeight="14.4"/>
  <cols>
    <col min="1" max="1" width="9.33203125" customWidth="1"/>
    <col min="2" max="2" width="11.109375" bestFit="1" customWidth="1"/>
    <col min="3" max="3" width="4.21875" bestFit="1" customWidth="1"/>
    <col min="4" max="4" width="10" customWidth="1"/>
    <col min="5" max="5" width="11.21875" bestFit="1" customWidth="1"/>
    <col min="6" max="6" width="11.88671875" bestFit="1" customWidth="1"/>
    <col min="7" max="7" width="13.109375" bestFit="1" customWidth="1"/>
  </cols>
  <sheetData>
    <row r="1" spans="1:7">
      <c r="A1" s="35" t="s">
        <v>123</v>
      </c>
      <c r="B1" s="35" t="s">
        <v>124</v>
      </c>
      <c r="C1" s="35" t="s">
        <v>125</v>
      </c>
      <c r="D1" s="35" t="s">
        <v>126</v>
      </c>
      <c r="E1" s="35" t="s">
        <v>127</v>
      </c>
      <c r="F1" s="35" t="s">
        <v>128</v>
      </c>
      <c r="G1" s="35" t="s">
        <v>129</v>
      </c>
    </row>
    <row r="2" spans="1:7">
      <c r="A2" s="33" t="s">
        <v>130</v>
      </c>
      <c r="B2" s="33" t="s">
        <v>131</v>
      </c>
      <c r="C2" s="33">
        <v>25</v>
      </c>
      <c r="D2" s="33">
        <v>35000</v>
      </c>
      <c r="E2" s="34">
        <v>46054</v>
      </c>
      <c r="F2" s="33">
        <v>78</v>
      </c>
      <c r="G2" s="33" t="s">
        <v>132</v>
      </c>
    </row>
    <row r="3" spans="1:7">
      <c r="A3" s="33" t="s">
        <v>133</v>
      </c>
      <c r="B3" s="33" t="s">
        <v>134</v>
      </c>
      <c r="C3" s="33">
        <v>32</v>
      </c>
      <c r="D3" s="33">
        <v>55000</v>
      </c>
      <c r="E3" s="34">
        <v>46064</v>
      </c>
      <c r="F3" s="33">
        <v>92</v>
      </c>
      <c r="G3" s="33" t="s">
        <v>135</v>
      </c>
    </row>
    <row r="4" spans="1:7">
      <c r="A4" s="33" t="s">
        <v>136</v>
      </c>
      <c r="B4" s="33" t="s">
        <v>137</v>
      </c>
      <c r="C4" s="33">
        <v>32</v>
      </c>
      <c r="D4" s="33">
        <v>48000</v>
      </c>
      <c r="E4" s="34">
        <v>46074</v>
      </c>
      <c r="F4" s="33">
        <v>65</v>
      </c>
      <c r="G4" s="33" t="s">
        <v>138</v>
      </c>
    </row>
    <row r="5" spans="1:7">
      <c r="A5" s="33" t="s">
        <v>139</v>
      </c>
      <c r="B5" s="33" t="s">
        <v>140</v>
      </c>
      <c r="C5" s="33">
        <v>41</v>
      </c>
      <c r="D5" s="33">
        <v>62000</v>
      </c>
      <c r="E5" s="34">
        <v>46084</v>
      </c>
      <c r="F5" s="33">
        <v>88</v>
      </c>
      <c r="G5" s="33" t="s">
        <v>135</v>
      </c>
    </row>
    <row r="6" spans="1:7">
      <c r="A6" s="33" t="s">
        <v>141</v>
      </c>
      <c r="B6" s="33" t="s">
        <v>131</v>
      </c>
      <c r="C6" s="33">
        <v>28</v>
      </c>
      <c r="D6" s="33">
        <v>37000</v>
      </c>
      <c r="E6" s="34">
        <v>46094</v>
      </c>
      <c r="F6" s="33">
        <v>55</v>
      </c>
      <c r="G6" s="33" t="s">
        <v>142</v>
      </c>
    </row>
    <row r="7" spans="1:7">
      <c r="A7" s="33" t="s">
        <v>143</v>
      </c>
      <c r="B7" s="33" t="s">
        <v>137</v>
      </c>
      <c r="C7" s="33">
        <v>35</v>
      </c>
      <c r="D7" s="33">
        <v>51000</v>
      </c>
      <c r="E7" s="34">
        <v>46104</v>
      </c>
      <c r="F7" s="33">
        <v>73</v>
      </c>
      <c r="G7" s="33" t="s">
        <v>132</v>
      </c>
    </row>
    <row r="8" spans="1:7">
      <c r="A8" s="33" t="s">
        <v>144</v>
      </c>
      <c r="B8" s="33" t="s">
        <v>134</v>
      </c>
      <c r="C8" s="33">
        <v>30</v>
      </c>
      <c r="D8" s="33">
        <v>45000</v>
      </c>
      <c r="E8" s="34">
        <v>46114</v>
      </c>
      <c r="F8" s="33">
        <v>60</v>
      </c>
      <c r="G8" s="33" t="s">
        <v>138</v>
      </c>
    </row>
    <row r="9" spans="1:7">
      <c r="A9" s="33" t="s">
        <v>145</v>
      </c>
      <c r="B9" s="33" t="s">
        <v>140</v>
      </c>
      <c r="C9" s="33">
        <v>27</v>
      </c>
      <c r="D9" s="33">
        <v>40000</v>
      </c>
      <c r="E9" s="34">
        <v>46124</v>
      </c>
      <c r="F9" s="33">
        <v>95</v>
      </c>
      <c r="G9" s="33" t="s">
        <v>146</v>
      </c>
    </row>
    <row r="10" spans="1:7">
      <c r="A10" s="33" t="s">
        <v>147</v>
      </c>
      <c r="B10" s="33" t="s">
        <v>137</v>
      </c>
      <c r="C10" s="33">
        <v>27</v>
      </c>
      <c r="D10" s="33">
        <v>70000</v>
      </c>
      <c r="E10" s="34">
        <v>46134</v>
      </c>
      <c r="F10" s="33">
        <v>82</v>
      </c>
      <c r="G10" s="33" t="s">
        <v>135</v>
      </c>
    </row>
    <row r="11" spans="1:7">
      <c r="A11" s="33" t="s">
        <v>148</v>
      </c>
      <c r="B11" s="33" t="s">
        <v>131</v>
      </c>
      <c r="C11" s="33">
        <v>26</v>
      </c>
      <c r="D11" s="33">
        <v>36000</v>
      </c>
      <c r="E11" s="34">
        <v>46144</v>
      </c>
      <c r="F11" s="33">
        <v>45</v>
      </c>
      <c r="G11" s="33" t="s">
        <v>142</v>
      </c>
    </row>
  </sheetData>
  <conditionalFormatting sqref="C2:C11">
    <cfRule type="duplicateValues" dxfId="0" priority="2"/>
  </conditionalFormatting>
  <conditionalFormatting sqref="F2:F11">
    <cfRule type="iconSet" priority="3">
      <iconSet>
        <cfvo type="percent" val="0"/>
        <cfvo type="percent" val="33"/>
        <cfvo type="percent" val="67"/>
      </iconSet>
    </cfRule>
    <cfRule type="colorScale" priority="4">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BF5F-9513-4195-A75F-0B8A5833F297}">
  <dimension ref="A1:J16"/>
  <sheetViews>
    <sheetView zoomScale="115" zoomScaleNormal="115" workbookViewId="0">
      <selection activeCell="D6" sqref="D6:J16"/>
    </sheetView>
  </sheetViews>
  <sheetFormatPr defaultRowHeight="14.4"/>
  <cols>
    <col min="2" max="2" width="27.109375" customWidth="1"/>
    <col min="4" max="4" width="10.77734375" customWidth="1"/>
    <col min="5" max="5" width="12.6640625" customWidth="1"/>
    <col min="6" max="6" width="5.77734375" customWidth="1"/>
    <col min="7" max="7" width="7.5546875" customWidth="1"/>
    <col min="8" max="8" width="12.77734375" customWidth="1"/>
    <col min="9" max="9" width="13.33203125" customWidth="1"/>
    <col min="10" max="10" width="13.109375" bestFit="1" customWidth="1"/>
  </cols>
  <sheetData>
    <row r="1" spans="1:10" ht="15.6">
      <c r="A1" s="15" t="s">
        <v>117</v>
      </c>
      <c r="B1" s="22" t="s">
        <v>0</v>
      </c>
    </row>
    <row r="2" spans="1:10" ht="15.6">
      <c r="A2" s="14">
        <v>1</v>
      </c>
      <c r="B2" s="16" t="s">
        <v>149</v>
      </c>
    </row>
    <row r="3" spans="1:10" ht="15.6">
      <c r="A3" s="14">
        <v>2</v>
      </c>
      <c r="B3" s="16" t="s">
        <v>150</v>
      </c>
    </row>
    <row r="4" spans="1:10" ht="15.6">
      <c r="A4" s="14">
        <v>3</v>
      </c>
      <c r="B4" s="16" t="s">
        <v>151</v>
      </c>
    </row>
    <row r="6" spans="1:10">
      <c r="D6" s="42" t="s">
        <v>123</v>
      </c>
      <c r="E6" s="43" t="s">
        <v>124</v>
      </c>
      <c r="F6" s="43" t="s">
        <v>125</v>
      </c>
      <c r="G6" s="43" t="s">
        <v>126</v>
      </c>
      <c r="H6" s="43" t="s">
        <v>127</v>
      </c>
      <c r="I6" s="43" t="s">
        <v>128</v>
      </c>
      <c r="J6" s="44" t="s">
        <v>129</v>
      </c>
    </row>
    <row r="7" spans="1:10">
      <c r="D7" s="38" t="s">
        <v>130</v>
      </c>
      <c r="E7" s="33" t="s">
        <v>131</v>
      </c>
      <c r="F7" s="33">
        <v>25</v>
      </c>
      <c r="G7" s="33">
        <v>35000</v>
      </c>
      <c r="H7" s="34">
        <v>46054</v>
      </c>
      <c r="I7" s="33">
        <v>78</v>
      </c>
      <c r="J7" s="39" t="s">
        <v>132</v>
      </c>
    </row>
    <row r="8" spans="1:10">
      <c r="D8" s="38" t="s">
        <v>133</v>
      </c>
      <c r="E8" s="33" t="s">
        <v>134</v>
      </c>
      <c r="F8" s="33">
        <v>32</v>
      </c>
      <c r="G8" s="33">
        <v>55000</v>
      </c>
      <c r="H8" s="34">
        <v>46064</v>
      </c>
      <c r="I8" s="33">
        <v>92</v>
      </c>
      <c r="J8" s="39" t="s">
        <v>135</v>
      </c>
    </row>
    <row r="9" spans="1:10">
      <c r="D9" s="38" t="s">
        <v>136</v>
      </c>
      <c r="E9" s="33" t="s">
        <v>137</v>
      </c>
      <c r="F9" s="33">
        <v>32</v>
      </c>
      <c r="G9" s="33">
        <v>48000</v>
      </c>
      <c r="H9" s="34">
        <v>46074</v>
      </c>
      <c r="I9" s="33">
        <v>65</v>
      </c>
      <c r="J9" s="39" t="s">
        <v>138</v>
      </c>
    </row>
    <row r="10" spans="1:10">
      <c r="D10" s="38" t="s">
        <v>139</v>
      </c>
      <c r="E10" s="33" t="s">
        <v>140</v>
      </c>
      <c r="F10" s="33">
        <v>41</v>
      </c>
      <c r="G10" s="33">
        <v>62000</v>
      </c>
      <c r="H10" s="34">
        <v>46084</v>
      </c>
      <c r="I10" s="33">
        <v>88</v>
      </c>
      <c r="J10" s="39" t="s">
        <v>135</v>
      </c>
    </row>
    <row r="11" spans="1:10">
      <c r="D11" s="38" t="s">
        <v>141</v>
      </c>
      <c r="E11" s="33" t="s">
        <v>131</v>
      </c>
      <c r="F11" s="33">
        <v>28</v>
      </c>
      <c r="G11" s="33">
        <v>37000</v>
      </c>
      <c r="H11" s="34">
        <v>46094</v>
      </c>
      <c r="I11" s="33">
        <v>55</v>
      </c>
      <c r="J11" s="39" t="s">
        <v>142</v>
      </c>
    </row>
    <row r="12" spans="1:10">
      <c r="D12" s="38" t="s">
        <v>143</v>
      </c>
      <c r="E12" s="33" t="s">
        <v>137</v>
      </c>
      <c r="F12" s="33">
        <v>35</v>
      </c>
      <c r="G12" s="33">
        <v>51000</v>
      </c>
      <c r="H12" s="34">
        <v>46104</v>
      </c>
      <c r="I12" s="33">
        <v>73</v>
      </c>
      <c r="J12" s="39" t="s">
        <v>132</v>
      </c>
    </row>
    <row r="13" spans="1:10">
      <c r="D13" s="38" t="s">
        <v>144</v>
      </c>
      <c r="E13" s="33" t="s">
        <v>134</v>
      </c>
      <c r="F13" s="33">
        <v>30</v>
      </c>
      <c r="G13" s="33">
        <v>45000</v>
      </c>
      <c r="H13" s="34">
        <v>46114</v>
      </c>
      <c r="I13" s="33">
        <v>60</v>
      </c>
      <c r="J13" s="39" t="s">
        <v>138</v>
      </c>
    </row>
    <row r="14" spans="1:10">
      <c r="D14" s="38" t="s">
        <v>145</v>
      </c>
      <c r="E14" s="33" t="s">
        <v>140</v>
      </c>
      <c r="F14" s="33">
        <v>27</v>
      </c>
      <c r="G14" s="33">
        <v>40000</v>
      </c>
      <c r="H14" s="34">
        <v>46124</v>
      </c>
      <c r="I14" s="33">
        <v>95</v>
      </c>
      <c r="J14" s="39" t="s">
        <v>146</v>
      </c>
    </row>
    <row r="15" spans="1:10">
      <c r="D15" s="38" t="s">
        <v>147</v>
      </c>
      <c r="E15" s="33" t="s">
        <v>137</v>
      </c>
      <c r="F15" s="33">
        <v>27</v>
      </c>
      <c r="G15" s="33">
        <v>70000</v>
      </c>
      <c r="H15" s="34">
        <v>46134</v>
      </c>
      <c r="I15" s="33">
        <v>82</v>
      </c>
      <c r="J15" s="39" t="s">
        <v>135</v>
      </c>
    </row>
    <row r="16" spans="1:10">
      <c r="D16" s="40" t="s">
        <v>148</v>
      </c>
      <c r="E16" s="36" t="s">
        <v>131</v>
      </c>
      <c r="F16" s="36">
        <v>26</v>
      </c>
      <c r="G16" s="36">
        <v>36000</v>
      </c>
      <c r="H16" s="41">
        <v>46144</v>
      </c>
      <c r="I16" s="36">
        <v>45</v>
      </c>
      <c r="J16" s="37" t="s">
        <v>142</v>
      </c>
    </row>
  </sheetData>
  <phoneticPr fontId="9"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E999B-B945-429F-9B09-BD38498E4920}">
  <dimension ref="A1:P11"/>
  <sheetViews>
    <sheetView zoomScale="115" zoomScaleNormal="115" workbookViewId="0">
      <selection activeCell="D1" sqref="D1:I11"/>
    </sheetView>
  </sheetViews>
  <sheetFormatPr defaultRowHeight="14.4"/>
  <cols>
    <col min="2" max="2" width="27.88671875" bestFit="1" customWidth="1"/>
    <col min="4" max="4" width="9.33203125" bestFit="1" customWidth="1"/>
    <col min="5" max="5" width="11.109375" customWidth="1"/>
    <col min="6" max="6" width="4.21875" bestFit="1" customWidth="1"/>
    <col min="7" max="7" width="6.21875" bestFit="1" customWidth="1"/>
    <col min="8" max="8" width="11.21875" bestFit="1" customWidth="1"/>
    <col min="9" max="9" width="13.109375" bestFit="1" customWidth="1"/>
    <col min="11" max="11" width="9.33203125" bestFit="1" customWidth="1"/>
    <col min="12" max="12" width="11.109375" bestFit="1" customWidth="1"/>
    <col min="13" max="13" width="4.21875" bestFit="1" customWidth="1"/>
    <col min="14" max="14" width="6.21875" bestFit="1" customWidth="1"/>
    <col min="15" max="15" width="11.21875" bestFit="1" customWidth="1"/>
    <col min="16" max="16" width="13.109375" bestFit="1" customWidth="1"/>
  </cols>
  <sheetData>
    <row r="1" spans="1:16" ht="15.6">
      <c r="A1" s="15" t="s">
        <v>117</v>
      </c>
      <c r="B1" s="22" t="s">
        <v>0</v>
      </c>
      <c r="D1" s="49" t="s">
        <v>123</v>
      </c>
      <c r="E1" s="49" t="s">
        <v>124</v>
      </c>
      <c r="F1" s="49" t="s">
        <v>125</v>
      </c>
      <c r="G1" s="49" t="s">
        <v>126</v>
      </c>
      <c r="H1" s="49" t="s">
        <v>127</v>
      </c>
      <c r="I1" s="49" t="s">
        <v>129</v>
      </c>
      <c r="K1" s="49" t="s">
        <v>123</v>
      </c>
      <c r="L1" s="49" t="s">
        <v>124</v>
      </c>
      <c r="M1" s="49" t="s">
        <v>125</v>
      </c>
      <c r="N1" s="49" t="s">
        <v>126</v>
      </c>
      <c r="O1" s="49" t="s">
        <v>127</v>
      </c>
      <c r="P1" s="49" t="s">
        <v>129</v>
      </c>
    </row>
    <row r="2" spans="1:16" ht="15.6">
      <c r="A2" s="14">
        <v>1</v>
      </c>
      <c r="B2" s="16" t="s">
        <v>152</v>
      </c>
      <c r="D2" s="45" t="s">
        <v>130</v>
      </c>
      <c r="E2" s="45" t="s">
        <v>131</v>
      </c>
      <c r="F2" s="45">
        <v>25</v>
      </c>
      <c r="G2" s="45">
        <v>35000</v>
      </c>
      <c r="H2" s="46">
        <v>46054</v>
      </c>
      <c r="I2" s="45" t="s">
        <v>132</v>
      </c>
      <c r="K2" s="45" t="s">
        <v>130</v>
      </c>
      <c r="L2" s="45" t="s">
        <v>131</v>
      </c>
      <c r="M2" s="45">
        <v>25</v>
      </c>
      <c r="N2" s="45">
        <v>35000</v>
      </c>
      <c r="O2" s="46">
        <v>46054</v>
      </c>
      <c r="P2" s="45" t="s">
        <v>132</v>
      </c>
    </row>
    <row r="3" spans="1:16">
      <c r="D3" s="47" t="s">
        <v>133</v>
      </c>
      <c r="E3" s="47" t="s">
        <v>134</v>
      </c>
      <c r="F3" s="47">
        <v>32</v>
      </c>
      <c r="G3" s="47">
        <v>55000</v>
      </c>
      <c r="H3" s="48">
        <v>46064</v>
      </c>
      <c r="I3" s="47" t="s">
        <v>135</v>
      </c>
      <c r="K3" s="47" t="s">
        <v>133</v>
      </c>
      <c r="L3" s="47" t="s">
        <v>134</v>
      </c>
      <c r="M3" s="47">
        <v>32</v>
      </c>
      <c r="N3" s="47">
        <v>55000</v>
      </c>
      <c r="O3" s="48">
        <v>46064</v>
      </c>
      <c r="P3" s="47" t="s">
        <v>135</v>
      </c>
    </row>
    <row r="4" spans="1:16">
      <c r="D4" s="45" t="s">
        <v>136</v>
      </c>
      <c r="E4" s="45" t="s">
        <v>137</v>
      </c>
      <c r="F4" s="45">
        <v>32</v>
      </c>
      <c r="G4" s="45">
        <v>48000</v>
      </c>
      <c r="H4" s="46">
        <v>46074</v>
      </c>
      <c r="I4" s="45" t="s">
        <v>138</v>
      </c>
      <c r="K4" s="45" t="s">
        <v>136</v>
      </c>
      <c r="L4" s="45" t="s">
        <v>137</v>
      </c>
      <c r="M4" s="45">
        <v>32</v>
      </c>
      <c r="N4" s="45">
        <v>48000</v>
      </c>
      <c r="O4" s="46">
        <v>46074</v>
      </c>
      <c r="P4" s="45" t="s">
        <v>138</v>
      </c>
    </row>
    <row r="5" spans="1:16">
      <c r="D5" s="47" t="s">
        <v>139</v>
      </c>
      <c r="E5" s="47" t="s">
        <v>140</v>
      </c>
      <c r="F5" s="47">
        <v>41</v>
      </c>
      <c r="G5" s="47">
        <v>62000</v>
      </c>
      <c r="H5" s="48">
        <v>46084</v>
      </c>
      <c r="I5" s="47" t="s">
        <v>135</v>
      </c>
      <c r="K5" s="47" t="s">
        <v>139</v>
      </c>
      <c r="L5" s="47" t="s">
        <v>140</v>
      </c>
      <c r="M5" s="47">
        <v>41</v>
      </c>
      <c r="N5" s="47">
        <v>62000</v>
      </c>
      <c r="O5" s="48">
        <v>46084</v>
      </c>
      <c r="P5" s="47" t="s">
        <v>135</v>
      </c>
    </row>
    <row r="6" spans="1:16">
      <c r="D6" s="45" t="s">
        <v>141</v>
      </c>
      <c r="E6" s="45" t="s">
        <v>131</v>
      </c>
      <c r="F6" s="45">
        <v>28</v>
      </c>
      <c r="G6" s="45">
        <v>37000</v>
      </c>
      <c r="H6" s="46">
        <v>46094</v>
      </c>
      <c r="I6" s="45" t="s">
        <v>142</v>
      </c>
      <c r="K6" s="45" t="s">
        <v>141</v>
      </c>
      <c r="L6" s="45" t="s">
        <v>131</v>
      </c>
      <c r="M6" s="45">
        <v>28</v>
      </c>
      <c r="N6" s="45">
        <v>37000</v>
      </c>
      <c r="O6" s="46">
        <v>46094</v>
      </c>
      <c r="P6" s="45" t="s">
        <v>142</v>
      </c>
    </row>
    <row r="7" spans="1:16">
      <c r="D7" s="47" t="s">
        <v>143</v>
      </c>
      <c r="E7" s="47" t="s">
        <v>137</v>
      </c>
      <c r="F7" s="47">
        <v>35</v>
      </c>
      <c r="G7" s="47">
        <v>51000</v>
      </c>
      <c r="H7" s="48">
        <v>46104</v>
      </c>
      <c r="I7" s="47" t="s">
        <v>132</v>
      </c>
      <c r="K7" s="47" t="s">
        <v>143</v>
      </c>
      <c r="L7" s="47" t="s">
        <v>137</v>
      </c>
      <c r="M7" s="47">
        <v>35</v>
      </c>
      <c r="N7" s="47">
        <v>51000</v>
      </c>
      <c r="O7" s="48">
        <v>46104</v>
      </c>
      <c r="P7" s="47" t="s">
        <v>132</v>
      </c>
    </row>
    <row r="8" spans="1:16">
      <c r="D8" s="45" t="s">
        <v>144</v>
      </c>
      <c r="E8" s="45" t="s">
        <v>134</v>
      </c>
      <c r="F8" s="45">
        <v>30</v>
      </c>
      <c r="G8" s="45">
        <v>45000</v>
      </c>
      <c r="H8" s="46">
        <v>46114</v>
      </c>
      <c r="I8" s="45" t="s">
        <v>138</v>
      </c>
      <c r="K8" s="45" t="s">
        <v>144</v>
      </c>
      <c r="L8" s="45" t="s">
        <v>134</v>
      </c>
      <c r="M8" s="45">
        <v>30</v>
      </c>
      <c r="N8" s="45">
        <v>45000</v>
      </c>
      <c r="O8" s="46">
        <v>46114</v>
      </c>
      <c r="P8" s="45" t="s">
        <v>138</v>
      </c>
    </row>
    <row r="9" spans="1:16">
      <c r="D9" s="47" t="s">
        <v>145</v>
      </c>
      <c r="E9" s="47" t="s">
        <v>140</v>
      </c>
      <c r="F9" s="47">
        <v>27</v>
      </c>
      <c r="G9" s="47">
        <v>40000</v>
      </c>
      <c r="H9" s="48">
        <v>46124</v>
      </c>
      <c r="I9" s="47" t="s">
        <v>146</v>
      </c>
      <c r="K9" s="47" t="s">
        <v>145</v>
      </c>
      <c r="L9" s="47" t="s">
        <v>140</v>
      </c>
      <c r="M9" s="47">
        <v>27</v>
      </c>
      <c r="N9" s="47">
        <v>40000</v>
      </c>
      <c r="O9" s="48">
        <v>46124</v>
      </c>
      <c r="P9" s="47" t="s">
        <v>146</v>
      </c>
    </row>
    <row r="10" spans="1:16">
      <c r="D10" s="45" t="s">
        <v>147</v>
      </c>
      <c r="E10" s="45" t="s">
        <v>137</v>
      </c>
      <c r="F10" s="45">
        <v>27</v>
      </c>
      <c r="G10" s="45">
        <v>70000</v>
      </c>
      <c r="H10" s="46">
        <v>46134</v>
      </c>
      <c r="I10" s="45" t="s">
        <v>135</v>
      </c>
      <c r="K10" s="45" t="s">
        <v>147</v>
      </c>
      <c r="L10" s="45" t="s">
        <v>137</v>
      </c>
      <c r="M10" s="45">
        <v>27</v>
      </c>
      <c r="N10" s="45">
        <v>70000</v>
      </c>
      <c r="O10" s="46">
        <v>46134</v>
      </c>
      <c r="P10" s="45" t="s">
        <v>135</v>
      </c>
    </row>
    <row r="11" spans="1:16">
      <c r="D11" s="47" t="s">
        <v>148</v>
      </c>
      <c r="E11" s="47" t="s">
        <v>131</v>
      </c>
      <c r="F11" s="47">
        <v>26</v>
      </c>
      <c r="G11" s="47">
        <v>36000</v>
      </c>
      <c r="H11" s="48">
        <v>46144</v>
      </c>
      <c r="I11" s="47" t="s">
        <v>142</v>
      </c>
      <c r="K11" s="47" t="s">
        <v>148</v>
      </c>
      <c r="L11" s="47" t="s">
        <v>131</v>
      </c>
      <c r="M11" s="47">
        <v>26</v>
      </c>
      <c r="N11" s="47">
        <v>36000</v>
      </c>
      <c r="O11" s="48">
        <v>46144</v>
      </c>
      <c r="P11" s="47" t="s">
        <v>142</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FF286-AFDA-4E60-BB1F-419D3F423E85}">
  <dimension ref="A1:S19"/>
  <sheetViews>
    <sheetView topLeftCell="L1" zoomScale="115" zoomScaleNormal="115" workbookViewId="0">
      <selection activeCell="AC12" sqref="AC12"/>
    </sheetView>
  </sheetViews>
  <sheetFormatPr defaultRowHeight="14.4"/>
  <cols>
    <col min="2" max="2" width="27.88671875" bestFit="1" customWidth="1"/>
    <col min="4" max="4" width="9.33203125" bestFit="1" customWidth="1"/>
    <col min="5" max="5" width="11.109375" bestFit="1" customWidth="1"/>
    <col min="6" max="6" width="4.21875" bestFit="1" customWidth="1"/>
    <col min="7" max="7" width="7.21875" bestFit="1" customWidth="1"/>
    <col min="8" max="8" width="11.21875" bestFit="1" customWidth="1"/>
    <col min="9" max="9" width="13.109375" bestFit="1" customWidth="1"/>
    <col min="12" max="12" width="6.21875" bestFit="1" customWidth="1"/>
    <col min="13" max="13" width="18.33203125" bestFit="1" customWidth="1"/>
    <col min="14" max="14" width="16.21875" bestFit="1" customWidth="1"/>
    <col min="15" max="15" width="7.21875" bestFit="1" customWidth="1"/>
    <col min="16" max="16" width="5.88671875" bestFit="1" customWidth="1"/>
    <col min="17" max="17" width="10" bestFit="1" customWidth="1"/>
    <col min="18" max="18" width="11" bestFit="1" customWidth="1"/>
  </cols>
  <sheetData>
    <row r="1" spans="1:19" ht="15.6">
      <c r="A1" s="15" t="s">
        <v>117</v>
      </c>
      <c r="B1" s="22" t="s">
        <v>0</v>
      </c>
      <c r="D1" s="49" t="s">
        <v>123</v>
      </c>
      <c r="E1" s="49" t="s">
        <v>124</v>
      </c>
      <c r="F1" s="49" t="s">
        <v>125</v>
      </c>
      <c r="G1" s="49" t="s">
        <v>126</v>
      </c>
      <c r="H1" s="49" t="s">
        <v>127</v>
      </c>
      <c r="I1" s="49" t="s">
        <v>129</v>
      </c>
      <c r="J1" s="49" t="s">
        <v>129</v>
      </c>
      <c r="R1" s="5"/>
      <c r="S1" s="5" t="s">
        <v>189</v>
      </c>
    </row>
    <row r="2" spans="1:19" ht="15.6">
      <c r="A2" s="14">
        <v>1</v>
      </c>
      <c r="B2" s="16" t="s">
        <v>153</v>
      </c>
      <c r="D2" s="45" t="s">
        <v>130</v>
      </c>
      <c r="E2" s="45" t="s">
        <v>131</v>
      </c>
      <c r="F2" s="45">
        <v>25</v>
      </c>
      <c r="G2" s="45">
        <v>35000</v>
      </c>
      <c r="H2" s="46">
        <v>46054</v>
      </c>
      <c r="I2" s="45" t="s">
        <v>132</v>
      </c>
      <c r="J2" s="49" t="s">
        <v>129</v>
      </c>
      <c r="L2" s="13">
        <v>10001</v>
      </c>
      <c r="M2" s="13" t="s">
        <v>85</v>
      </c>
      <c r="N2" s="13" t="s">
        <v>38</v>
      </c>
      <c r="O2" s="13">
        <v>158075</v>
      </c>
      <c r="P2" s="13" t="s">
        <v>39</v>
      </c>
      <c r="Q2" s="24" t="s">
        <v>162</v>
      </c>
      <c r="R2" s="24" t="s">
        <v>175</v>
      </c>
      <c r="S2" s="24" t="s">
        <v>187</v>
      </c>
    </row>
    <row r="3" spans="1:19" ht="15.6">
      <c r="A3" s="14">
        <v>2</v>
      </c>
      <c r="B3" s="16" t="s">
        <v>155</v>
      </c>
      <c r="D3" s="47" t="s">
        <v>133</v>
      </c>
      <c r="E3" s="47" t="s">
        <v>134</v>
      </c>
      <c r="F3" s="47">
        <v>32</v>
      </c>
      <c r="G3" s="47">
        <v>55000</v>
      </c>
      <c r="H3" s="48">
        <v>46064</v>
      </c>
      <c r="I3" s="47" t="s">
        <v>135</v>
      </c>
      <c r="J3" s="49" t="s">
        <v>129</v>
      </c>
      <c r="L3" s="13">
        <v>10002</v>
      </c>
      <c r="M3" s="13" t="s">
        <v>40</v>
      </c>
      <c r="N3" s="13" t="s">
        <v>41</v>
      </c>
      <c r="O3" s="13">
        <v>40713</v>
      </c>
      <c r="P3" s="13" t="s">
        <v>39</v>
      </c>
      <c r="Q3" s="5" t="s">
        <v>163</v>
      </c>
      <c r="R3" s="5" t="s">
        <v>176</v>
      </c>
      <c r="S3" s="5" t="s">
        <v>188</v>
      </c>
    </row>
    <row r="4" spans="1:19" ht="15.6">
      <c r="A4" s="14">
        <v>3</v>
      </c>
      <c r="B4" s="16" t="s">
        <v>154</v>
      </c>
      <c r="D4" s="45" t="s">
        <v>136</v>
      </c>
      <c r="E4" s="45" t="s">
        <v>137</v>
      </c>
      <c r="F4" s="45">
        <v>32</v>
      </c>
      <c r="G4" s="45">
        <v>48000</v>
      </c>
      <c r="H4" s="46">
        <v>46074</v>
      </c>
      <c r="I4" s="45" t="s">
        <v>138</v>
      </c>
      <c r="J4" s="49" t="s">
        <v>129</v>
      </c>
      <c r="L4" s="13">
        <v>10003</v>
      </c>
      <c r="M4" s="13" t="s">
        <v>42</v>
      </c>
      <c r="N4" s="13" t="s">
        <v>41</v>
      </c>
      <c r="O4" s="13">
        <v>55568</v>
      </c>
      <c r="P4" s="13" t="s">
        <v>39</v>
      </c>
      <c r="Q4" s="5" t="s">
        <v>164</v>
      </c>
      <c r="R4" s="5" t="s">
        <v>177</v>
      </c>
      <c r="S4" s="5" t="s">
        <v>190</v>
      </c>
    </row>
    <row r="5" spans="1:19">
      <c r="D5" s="47" t="s">
        <v>139</v>
      </c>
      <c r="E5" s="47" t="s">
        <v>140</v>
      </c>
      <c r="F5" s="47">
        <v>41</v>
      </c>
      <c r="G5" s="47">
        <v>62000</v>
      </c>
      <c r="H5" s="48">
        <v>46084</v>
      </c>
      <c r="I5" s="47" t="s">
        <v>135</v>
      </c>
      <c r="J5" s="49" t="s">
        <v>129</v>
      </c>
      <c r="L5" s="13">
        <v>10004</v>
      </c>
      <c r="M5" s="13" t="s">
        <v>43</v>
      </c>
      <c r="N5" s="13" t="s">
        <v>41</v>
      </c>
      <c r="O5" s="13">
        <v>324002</v>
      </c>
      <c r="P5" s="13" t="s">
        <v>39</v>
      </c>
      <c r="Q5" s="5" t="s">
        <v>165</v>
      </c>
      <c r="R5" s="5" t="s">
        <v>178</v>
      </c>
      <c r="S5" s="5" t="s">
        <v>191</v>
      </c>
    </row>
    <row r="6" spans="1:19">
      <c r="D6" s="45" t="s">
        <v>141</v>
      </c>
      <c r="E6" s="45" t="s">
        <v>131</v>
      </c>
      <c r="F6" s="45">
        <v>28</v>
      </c>
      <c r="G6" s="45">
        <v>37000</v>
      </c>
      <c r="H6" s="46">
        <v>46094</v>
      </c>
      <c r="I6" s="45" t="s">
        <v>142</v>
      </c>
      <c r="J6" s="49" t="s">
        <v>129</v>
      </c>
      <c r="L6" s="13">
        <v>10005</v>
      </c>
      <c r="M6" s="13" t="s">
        <v>44</v>
      </c>
      <c r="N6" s="13" t="s">
        <v>41</v>
      </c>
      <c r="O6" s="13">
        <v>413737</v>
      </c>
      <c r="P6" s="13" t="s">
        <v>39</v>
      </c>
      <c r="Q6" s="5" t="s">
        <v>166</v>
      </c>
      <c r="R6" s="5" t="s">
        <v>179</v>
      </c>
      <c r="S6" s="5" t="s">
        <v>192</v>
      </c>
    </row>
    <row r="7" spans="1:19">
      <c r="D7" s="47" t="s">
        <v>143</v>
      </c>
      <c r="E7" s="47" t="s">
        <v>137</v>
      </c>
      <c r="F7" s="47">
        <v>35</v>
      </c>
      <c r="G7" s="47">
        <v>51000</v>
      </c>
      <c r="H7" s="48">
        <v>46104</v>
      </c>
      <c r="I7" s="47" t="s">
        <v>132</v>
      </c>
      <c r="J7" s="49" t="s">
        <v>129</v>
      </c>
      <c r="L7" s="13">
        <v>10006</v>
      </c>
      <c r="M7" s="13" t="s">
        <v>45</v>
      </c>
      <c r="N7" s="13" t="s">
        <v>46</v>
      </c>
      <c r="O7" s="13">
        <v>124626</v>
      </c>
      <c r="P7" s="13" t="s">
        <v>39</v>
      </c>
      <c r="Q7" s="5" t="s">
        <v>167</v>
      </c>
      <c r="R7" s="5" t="s">
        <v>180</v>
      </c>
      <c r="S7" s="5" t="s">
        <v>193</v>
      </c>
    </row>
    <row r="8" spans="1:19">
      <c r="D8" s="45" t="s">
        <v>144</v>
      </c>
      <c r="E8" s="45" t="s">
        <v>134</v>
      </c>
      <c r="F8" s="45">
        <v>30</v>
      </c>
      <c r="G8" s="45">
        <v>45000</v>
      </c>
      <c r="H8" s="46">
        <v>46114</v>
      </c>
      <c r="I8" s="45" t="s">
        <v>138</v>
      </c>
      <c r="J8" s="49" t="s">
        <v>129</v>
      </c>
      <c r="L8" s="13">
        <v>10007</v>
      </c>
      <c r="M8" s="13" t="s">
        <v>47</v>
      </c>
      <c r="N8" s="13" t="s">
        <v>46</v>
      </c>
      <c r="O8" s="13">
        <v>179583</v>
      </c>
      <c r="P8" s="13" t="s">
        <v>39</v>
      </c>
      <c r="Q8" s="5" t="s">
        <v>168</v>
      </c>
      <c r="R8" s="5" t="s">
        <v>181</v>
      </c>
      <c r="S8" s="5" t="s">
        <v>194</v>
      </c>
    </row>
    <row r="9" spans="1:19">
      <c r="D9" s="47" t="s">
        <v>145</v>
      </c>
      <c r="E9" s="47" t="s">
        <v>140</v>
      </c>
      <c r="F9" s="47">
        <v>27</v>
      </c>
      <c r="G9" s="47">
        <v>40000</v>
      </c>
      <c r="H9" s="48">
        <v>46124</v>
      </c>
      <c r="I9" s="47" t="s">
        <v>146</v>
      </c>
      <c r="J9" s="49" t="s">
        <v>129</v>
      </c>
      <c r="L9" s="13">
        <v>10008</v>
      </c>
      <c r="M9" s="13" t="s">
        <v>48</v>
      </c>
      <c r="N9" s="13" t="s">
        <v>38</v>
      </c>
      <c r="O9" s="13">
        <v>163750</v>
      </c>
      <c r="P9" s="13" t="s">
        <v>49</v>
      </c>
      <c r="Q9" s="5" t="s">
        <v>169</v>
      </c>
      <c r="R9" s="5" t="s">
        <v>182</v>
      </c>
      <c r="S9" s="5" t="s">
        <v>195</v>
      </c>
    </row>
    <row r="10" spans="1:19">
      <c r="D10" s="45" t="s">
        <v>147</v>
      </c>
      <c r="E10" s="45" t="s">
        <v>137</v>
      </c>
      <c r="F10" s="45">
        <v>27</v>
      </c>
      <c r="G10" s="45">
        <v>70000</v>
      </c>
      <c r="H10" s="46">
        <v>46134</v>
      </c>
      <c r="I10" s="45" t="s">
        <v>135</v>
      </c>
      <c r="J10" s="49" t="s">
        <v>129</v>
      </c>
      <c r="L10" s="13">
        <v>10009</v>
      </c>
      <c r="M10" s="13" t="s">
        <v>50</v>
      </c>
      <c r="N10" s="13" t="s">
        <v>41</v>
      </c>
      <c r="O10" s="13">
        <v>97898</v>
      </c>
      <c r="P10" s="13" t="s">
        <v>49</v>
      </c>
      <c r="Q10" s="5" t="s">
        <v>170</v>
      </c>
      <c r="R10" s="5" t="s">
        <v>177</v>
      </c>
      <c r="S10" s="5" t="s">
        <v>196</v>
      </c>
    </row>
    <row r="11" spans="1:19">
      <c r="D11" s="47" t="s">
        <v>148</v>
      </c>
      <c r="E11" s="47" t="s">
        <v>131</v>
      </c>
      <c r="F11" s="47">
        <v>26</v>
      </c>
      <c r="G11" s="47">
        <v>36000</v>
      </c>
      <c r="H11" s="48">
        <v>46144</v>
      </c>
      <c r="I11" s="47" t="s">
        <v>142</v>
      </c>
      <c r="J11" s="49" t="s">
        <v>129</v>
      </c>
      <c r="L11" s="13">
        <v>10010</v>
      </c>
      <c r="M11" s="13" t="s">
        <v>51</v>
      </c>
      <c r="N11" s="13" t="s">
        <v>41</v>
      </c>
      <c r="O11" s="13">
        <v>222153</v>
      </c>
      <c r="P11" s="13" t="s">
        <v>49</v>
      </c>
      <c r="Q11" s="5" t="s">
        <v>171</v>
      </c>
      <c r="R11" s="5" t="s">
        <v>183</v>
      </c>
      <c r="S11" s="5" t="s">
        <v>197</v>
      </c>
    </row>
    <row r="12" spans="1:19">
      <c r="F12">
        <f>SUM(F2:F11)</f>
        <v>303</v>
      </c>
      <c r="G12">
        <f>SUM(G2:G11)</f>
        <v>479000</v>
      </c>
      <c r="L12" s="13">
        <v>10011</v>
      </c>
      <c r="M12" s="13" t="s">
        <v>52</v>
      </c>
      <c r="N12" s="13" t="s">
        <v>41</v>
      </c>
      <c r="O12" s="13">
        <v>403604</v>
      </c>
      <c r="P12" s="13" t="s">
        <v>49</v>
      </c>
      <c r="Q12" s="5" t="s">
        <v>172</v>
      </c>
      <c r="R12" s="5" t="s">
        <v>184</v>
      </c>
      <c r="S12" s="5" t="s">
        <v>198</v>
      </c>
    </row>
    <row r="13" spans="1:19">
      <c r="L13" s="13">
        <v>10012</v>
      </c>
      <c r="M13" s="13" t="s">
        <v>53</v>
      </c>
      <c r="N13" s="13" t="s">
        <v>41</v>
      </c>
      <c r="O13" s="13">
        <v>216228</v>
      </c>
      <c r="P13" s="13" t="s">
        <v>54</v>
      </c>
      <c r="Q13" s="5" t="s">
        <v>173</v>
      </c>
      <c r="R13" s="5" t="s">
        <v>185</v>
      </c>
      <c r="S13" s="5" t="s">
        <v>199</v>
      </c>
    </row>
    <row r="14" spans="1:19">
      <c r="C14" s="50" t="s">
        <v>156</v>
      </c>
      <c r="L14" s="13">
        <v>10013</v>
      </c>
      <c r="M14" s="13" t="s">
        <v>55</v>
      </c>
      <c r="N14" s="13" t="s">
        <v>41</v>
      </c>
      <c r="O14" s="13">
        <v>177897</v>
      </c>
      <c r="P14" s="13" t="s">
        <v>54</v>
      </c>
      <c r="Q14" s="5" t="s">
        <v>174</v>
      </c>
      <c r="R14" s="5" t="s">
        <v>186</v>
      </c>
      <c r="S14" s="5" t="s">
        <v>200</v>
      </c>
    </row>
    <row r="15" spans="1:19">
      <c r="C15" t="s">
        <v>157</v>
      </c>
    </row>
    <row r="16" spans="1:19">
      <c r="C16" t="s">
        <v>158</v>
      </c>
    </row>
    <row r="17" spans="3:3">
      <c r="C17" t="s">
        <v>159</v>
      </c>
    </row>
    <row r="18" spans="3:3">
      <c r="C18" t="s">
        <v>160</v>
      </c>
    </row>
    <row r="19" spans="3:3">
      <c r="C19" t="s">
        <v>161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94AE3-0D6D-4035-A5F0-8AB9DA739A8F}">
  <dimension ref="A1:J20"/>
  <sheetViews>
    <sheetView zoomScale="85" zoomScaleNormal="85" workbookViewId="0">
      <selection activeCell="C1" sqref="C1:H11"/>
    </sheetView>
  </sheetViews>
  <sheetFormatPr defaultRowHeight="14.4"/>
  <cols>
    <col min="1" max="1" width="81.33203125" style="23" bestFit="1" customWidth="1"/>
    <col min="2" max="2" width="6.44140625" bestFit="1" customWidth="1"/>
    <col min="3" max="3" width="21.5546875" bestFit="1" customWidth="1"/>
    <col min="4" max="4" width="16.88671875" bestFit="1" customWidth="1"/>
    <col min="5" max="5" width="20.88671875" bestFit="1" customWidth="1"/>
    <col min="6" max="6" width="13.33203125" bestFit="1" customWidth="1"/>
    <col min="7" max="7" width="21.109375" bestFit="1" customWidth="1"/>
    <col min="8" max="8" width="13.33203125" bestFit="1" customWidth="1"/>
  </cols>
  <sheetData>
    <row r="1" spans="1:10" ht="21">
      <c r="A1" s="4" t="s">
        <v>0</v>
      </c>
      <c r="C1" s="52" t="s">
        <v>201</v>
      </c>
      <c r="D1" s="52" t="s">
        <v>34</v>
      </c>
      <c r="E1" s="52" t="s">
        <v>124</v>
      </c>
      <c r="F1" s="52" t="s">
        <v>126</v>
      </c>
      <c r="G1" s="52" t="s">
        <v>127</v>
      </c>
      <c r="H1" s="52" t="s">
        <v>202</v>
      </c>
      <c r="J1" s="52" t="s">
        <v>202</v>
      </c>
    </row>
    <row r="2" spans="1:10" ht="21">
      <c r="A2" s="9" t="s">
        <v>230</v>
      </c>
      <c r="C2" s="53">
        <v>101</v>
      </c>
      <c r="D2" s="53" t="s">
        <v>203</v>
      </c>
      <c r="E2" s="53" t="s">
        <v>131</v>
      </c>
      <c r="F2" s="54">
        <v>45000</v>
      </c>
      <c r="G2" s="55">
        <v>46045</v>
      </c>
      <c r="H2" s="53" t="s">
        <v>204</v>
      </c>
      <c r="J2" s="53" t="s">
        <v>204</v>
      </c>
    </row>
    <row r="3" spans="1:10" ht="21">
      <c r="A3" s="9" t="s">
        <v>227</v>
      </c>
      <c r="C3" s="53">
        <v>102</v>
      </c>
      <c r="D3" s="53" t="s">
        <v>205</v>
      </c>
      <c r="E3" s="53" t="s">
        <v>134</v>
      </c>
      <c r="F3" s="54">
        <v>55000</v>
      </c>
      <c r="G3" s="55">
        <v>46055</v>
      </c>
      <c r="H3" s="53" t="s">
        <v>204</v>
      </c>
      <c r="J3" s="53" t="s">
        <v>204</v>
      </c>
    </row>
    <row r="4" spans="1:10" ht="21">
      <c r="A4" s="9" t="s">
        <v>229</v>
      </c>
      <c r="C4" s="53">
        <v>103</v>
      </c>
      <c r="D4" s="53" t="s">
        <v>206</v>
      </c>
      <c r="E4" s="53" t="s">
        <v>137</v>
      </c>
      <c r="F4" s="54">
        <v>70000</v>
      </c>
      <c r="G4" s="55">
        <v>46065</v>
      </c>
      <c r="H4" s="53" t="s">
        <v>207</v>
      </c>
      <c r="J4" s="53" t="s">
        <v>207</v>
      </c>
    </row>
    <row r="5" spans="1:10" ht="21">
      <c r="A5" s="9" t="s">
        <v>231</v>
      </c>
      <c r="C5" s="53">
        <v>104</v>
      </c>
      <c r="D5" s="53" t="s">
        <v>208</v>
      </c>
      <c r="E5" s="53" t="s">
        <v>209</v>
      </c>
      <c r="F5" s="54">
        <v>60000</v>
      </c>
      <c r="G5" s="55">
        <v>46075</v>
      </c>
      <c r="H5" s="53" t="s">
        <v>204</v>
      </c>
      <c r="J5" s="53" t="s">
        <v>204</v>
      </c>
    </row>
    <row r="6" spans="1:10" ht="21">
      <c r="A6" s="9" t="s">
        <v>228</v>
      </c>
      <c r="C6" s="53">
        <v>105</v>
      </c>
      <c r="D6" s="57" t="s">
        <v>210</v>
      </c>
      <c r="E6" s="53" t="s">
        <v>137</v>
      </c>
      <c r="F6" s="54">
        <v>80000</v>
      </c>
      <c r="G6" s="55">
        <v>46085</v>
      </c>
      <c r="H6" s="53" t="s">
        <v>204</v>
      </c>
      <c r="J6" s="53" t="s">
        <v>204</v>
      </c>
    </row>
    <row r="7" spans="1:10" ht="21">
      <c r="A7" s="56"/>
      <c r="C7" s="53">
        <v>106</v>
      </c>
      <c r="D7" s="53" t="s">
        <v>211</v>
      </c>
      <c r="E7" s="53" t="s">
        <v>134</v>
      </c>
      <c r="F7" s="54">
        <v>50000</v>
      </c>
      <c r="G7" s="55">
        <v>46095</v>
      </c>
      <c r="H7" s="53" t="s">
        <v>207</v>
      </c>
      <c r="J7" s="53" t="s">
        <v>207</v>
      </c>
    </row>
    <row r="8" spans="1:10" ht="21">
      <c r="A8" s="51" t="s">
        <v>216</v>
      </c>
      <c r="C8" s="53">
        <v>107</v>
      </c>
      <c r="D8" s="53" t="s">
        <v>212</v>
      </c>
      <c r="E8" s="53" t="s">
        <v>131</v>
      </c>
      <c r="F8" s="54">
        <v>47000</v>
      </c>
      <c r="G8" s="55">
        <v>46105</v>
      </c>
      <c r="H8" s="53" t="s">
        <v>204</v>
      </c>
      <c r="J8" s="53" t="s">
        <v>204</v>
      </c>
    </row>
    <row r="9" spans="1:10" ht="21">
      <c r="A9" s="9" t="s">
        <v>217</v>
      </c>
      <c r="C9" s="53">
        <v>108</v>
      </c>
      <c r="D9" s="53" t="s">
        <v>213</v>
      </c>
      <c r="E9" s="53" t="s">
        <v>209</v>
      </c>
      <c r="F9" s="54">
        <v>65000</v>
      </c>
      <c r="G9" s="55">
        <v>46115</v>
      </c>
      <c r="H9" s="53" t="s">
        <v>204</v>
      </c>
      <c r="J9" s="53" t="s">
        <v>204</v>
      </c>
    </row>
    <row r="10" spans="1:10" ht="21">
      <c r="A10" s="9" t="s">
        <v>218</v>
      </c>
      <c r="C10" s="53">
        <v>109</v>
      </c>
      <c r="D10" s="57" t="s">
        <v>214</v>
      </c>
      <c r="E10" s="53" t="s">
        <v>137</v>
      </c>
      <c r="F10" s="54">
        <v>90000</v>
      </c>
      <c r="G10" s="55">
        <v>46125</v>
      </c>
      <c r="H10" s="53" t="s">
        <v>204</v>
      </c>
      <c r="J10" s="53" t="s">
        <v>204</v>
      </c>
    </row>
    <row r="11" spans="1:10" ht="21">
      <c r="A11" s="9" t="s">
        <v>232</v>
      </c>
      <c r="C11" s="53">
        <v>110</v>
      </c>
      <c r="D11" s="53" t="s">
        <v>215</v>
      </c>
      <c r="E11" s="53" t="s">
        <v>134</v>
      </c>
      <c r="F11" s="54">
        <v>52000</v>
      </c>
      <c r="G11" s="55">
        <v>46135</v>
      </c>
      <c r="H11" s="53" t="s">
        <v>204</v>
      </c>
      <c r="J11" s="53" t="s">
        <v>204</v>
      </c>
    </row>
    <row r="12" spans="1:10" ht="18">
      <c r="A12" s="9" t="s">
        <v>219</v>
      </c>
    </row>
    <row r="13" spans="1:10" ht="21">
      <c r="A13" s="9" t="s">
        <v>220</v>
      </c>
      <c r="C13" s="53">
        <v>111</v>
      </c>
      <c r="D13" s="53" t="s">
        <v>215</v>
      </c>
      <c r="E13" s="53" t="s">
        <v>134</v>
      </c>
      <c r="F13" s="54">
        <v>52000</v>
      </c>
      <c r="G13" s="55">
        <v>46135</v>
      </c>
      <c r="H13" s="53" t="s">
        <v>204</v>
      </c>
    </row>
    <row r="14" spans="1:10" ht="21">
      <c r="A14" s="51" t="s">
        <v>221</v>
      </c>
      <c r="C14" s="52" t="s">
        <v>124</v>
      </c>
      <c r="D14" s="52" t="s">
        <v>126</v>
      </c>
    </row>
    <row r="15" spans="1:10" ht="21">
      <c r="A15" s="9"/>
      <c r="C15" s="53" t="s">
        <v>137</v>
      </c>
      <c r="D15" t="s">
        <v>233</v>
      </c>
    </row>
    <row r="16" spans="1:10" ht="18">
      <c r="A16" s="51" t="s">
        <v>224</v>
      </c>
    </row>
    <row r="17" spans="1:8" ht="21">
      <c r="A17" s="9" t="s">
        <v>225</v>
      </c>
      <c r="C17" s="52" t="s">
        <v>201</v>
      </c>
      <c r="D17" s="52" t="s">
        <v>34</v>
      </c>
      <c r="E17" s="52" t="s">
        <v>124</v>
      </c>
      <c r="F17" s="52" t="s">
        <v>126</v>
      </c>
      <c r="G17" s="52" t="s">
        <v>127</v>
      </c>
      <c r="H17" s="52" t="s">
        <v>202</v>
      </c>
    </row>
    <row r="18" spans="1:8" ht="21">
      <c r="A18" s="9" t="s">
        <v>226</v>
      </c>
      <c r="C18" s="53">
        <v>105</v>
      </c>
      <c r="D18" s="57" t="s">
        <v>210</v>
      </c>
      <c r="E18" s="53" t="s">
        <v>137</v>
      </c>
      <c r="F18" s="54">
        <v>80000</v>
      </c>
      <c r="G18" s="55">
        <v>46085</v>
      </c>
      <c r="H18" s="53" t="s">
        <v>204</v>
      </c>
    </row>
    <row r="19" spans="1:8" ht="21">
      <c r="A19" s="9" t="s">
        <v>223</v>
      </c>
      <c r="C19" s="53">
        <v>109</v>
      </c>
      <c r="D19" s="57" t="s">
        <v>214</v>
      </c>
      <c r="E19" s="53" t="s">
        <v>137</v>
      </c>
      <c r="F19" s="54">
        <v>90000</v>
      </c>
      <c r="G19" s="55">
        <v>46125</v>
      </c>
      <c r="H19" s="53" t="s">
        <v>204</v>
      </c>
    </row>
    <row r="20" spans="1:8" ht="18">
      <c r="A20" s="9" t="s">
        <v>222</v>
      </c>
    </row>
  </sheetData>
  <autoFilter ref="C1:H11" xr:uid="{CB694AE3-0D6D-4035-A5F0-8AB9DA739A8F}"/>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8B5CE-15A6-4F7D-B712-C683FCB75BDE}">
  <dimension ref="A1:H14"/>
  <sheetViews>
    <sheetView workbookViewId="0">
      <selection activeCell="G1" sqref="G1:G11"/>
    </sheetView>
  </sheetViews>
  <sheetFormatPr defaultRowHeight="14.4"/>
  <cols>
    <col min="1" max="1" width="71.88671875" bestFit="1" customWidth="1"/>
    <col min="3" max="3" width="17.109375" bestFit="1" customWidth="1"/>
    <col min="4" max="4" width="16.88671875" bestFit="1" customWidth="1"/>
    <col min="5" max="5" width="16.44140625" bestFit="1" customWidth="1"/>
    <col min="6" max="6" width="9.77734375" bestFit="1" customWidth="1"/>
    <col min="7" max="7" width="16.6640625" bestFit="1" customWidth="1"/>
    <col min="8" max="8" width="12.21875" bestFit="1" customWidth="1"/>
    <col min="9" max="13" width="10.88671875" customWidth="1"/>
  </cols>
  <sheetData>
    <row r="1" spans="1:8" ht="21">
      <c r="A1" s="4" t="s">
        <v>0</v>
      </c>
      <c r="C1" s="52" t="s">
        <v>201</v>
      </c>
      <c r="D1" s="52" t="s">
        <v>34</v>
      </c>
      <c r="E1" s="52" t="s">
        <v>124</v>
      </c>
      <c r="F1" s="52" t="s">
        <v>126</v>
      </c>
      <c r="G1" s="52" t="s">
        <v>127</v>
      </c>
      <c r="H1" s="52" t="s">
        <v>202</v>
      </c>
    </row>
    <row r="2" spans="1:8" ht="21">
      <c r="A2" s="9" t="s">
        <v>234</v>
      </c>
      <c r="C2" s="53">
        <v>106</v>
      </c>
      <c r="D2" s="53" t="s">
        <v>211</v>
      </c>
      <c r="E2" s="53" t="s">
        <v>134</v>
      </c>
      <c r="F2" s="54">
        <v>50000</v>
      </c>
      <c r="G2" s="55">
        <v>46095</v>
      </c>
      <c r="H2" s="53" t="s">
        <v>207</v>
      </c>
    </row>
    <row r="3" spans="1:8" ht="21">
      <c r="A3" s="9" t="s">
        <v>235</v>
      </c>
      <c r="C3" s="53">
        <v>110</v>
      </c>
      <c r="D3" s="53" t="s">
        <v>215</v>
      </c>
      <c r="E3" s="53" t="s">
        <v>134</v>
      </c>
      <c r="F3" s="54">
        <v>52000</v>
      </c>
      <c r="G3" s="55">
        <v>46135</v>
      </c>
      <c r="H3" s="53" t="s">
        <v>204</v>
      </c>
    </row>
    <row r="4" spans="1:8" ht="21">
      <c r="A4" s="9" t="s">
        <v>240</v>
      </c>
      <c r="C4" s="53">
        <v>102</v>
      </c>
      <c r="D4" s="53" t="s">
        <v>205</v>
      </c>
      <c r="E4" s="59" t="s">
        <v>134</v>
      </c>
      <c r="F4" s="54">
        <v>55000</v>
      </c>
      <c r="G4" s="55">
        <v>46055</v>
      </c>
      <c r="H4" s="53" t="s">
        <v>204</v>
      </c>
    </row>
    <row r="5" spans="1:8" ht="21">
      <c r="A5" s="9" t="s">
        <v>236</v>
      </c>
      <c r="C5" s="53">
        <v>107</v>
      </c>
      <c r="D5" s="57" t="s">
        <v>212</v>
      </c>
      <c r="E5" s="53" t="s">
        <v>131</v>
      </c>
      <c r="F5" s="54">
        <v>47000</v>
      </c>
      <c r="G5" s="55">
        <v>46105</v>
      </c>
      <c r="H5" s="53" t="s">
        <v>204</v>
      </c>
    </row>
    <row r="6" spans="1:8" ht="21">
      <c r="A6" s="9" t="s">
        <v>237</v>
      </c>
      <c r="C6" s="53">
        <v>101</v>
      </c>
      <c r="D6" s="57" t="s">
        <v>203</v>
      </c>
      <c r="E6" s="53" t="s">
        <v>131</v>
      </c>
      <c r="F6" s="54">
        <v>45000</v>
      </c>
      <c r="G6" s="55">
        <v>46045</v>
      </c>
      <c r="H6" s="53" t="s">
        <v>204</v>
      </c>
    </row>
    <row r="7" spans="1:8" ht="21">
      <c r="A7" s="9" t="s">
        <v>241</v>
      </c>
      <c r="C7" s="53">
        <v>103</v>
      </c>
      <c r="D7" s="57" t="s">
        <v>206</v>
      </c>
      <c r="E7" s="53" t="s">
        <v>137</v>
      </c>
      <c r="F7" s="54">
        <v>70000</v>
      </c>
      <c r="G7" s="55">
        <v>46065</v>
      </c>
      <c r="H7" s="53" t="s">
        <v>207</v>
      </c>
    </row>
    <row r="8" spans="1:8" ht="21">
      <c r="A8" s="9" t="s">
        <v>238</v>
      </c>
      <c r="C8" s="53">
        <v>109</v>
      </c>
      <c r="D8" s="58" t="s">
        <v>214</v>
      </c>
      <c r="E8" s="53" t="s">
        <v>137</v>
      </c>
      <c r="F8" s="54">
        <v>90000</v>
      </c>
      <c r="G8" s="55">
        <v>46125</v>
      </c>
      <c r="H8" s="53" t="s">
        <v>204</v>
      </c>
    </row>
    <row r="9" spans="1:8" ht="21">
      <c r="A9" s="9" t="s">
        <v>239</v>
      </c>
      <c r="C9" s="53">
        <v>105</v>
      </c>
      <c r="D9" s="53" t="s">
        <v>210</v>
      </c>
      <c r="E9" s="59" t="s">
        <v>137</v>
      </c>
      <c r="F9" s="54">
        <v>80000</v>
      </c>
      <c r="G9" s="55">
        <v>46085</v>
      </c>
      <c r="H9" s="53" t="s">
        <v>204</v>
      </c>
    </row>
    <row r="10" spans="1:8" ht="21">
      <c r="C10" s="53">
        <v>104</v>
      </c>
      <c r="D10" s="53" t="s">
        <v>208</v>
      </c>
      <c r="E10" s="59" t="s">
        <v>209</v>
      </c>
      <c r="F10" s="54">
        <v>60000</v>
      </c>
      <c r="G10" s="55">
        <v>46075</v>
      </c>
      <c r="H10" s="53" t="s">
        <v>204</v>
      </c>
    </row>
    <row r="11" spans="1:8" ht="21">
      <c r="C11" s="53">
        <v>108</v>
      </c>
      <c r="D11" s="58" t="s">
        <v>213</v>
      </c>
      <c r="E11" s="53" t="s">
        <v>209</v>
      </c>
      <c r="F11" s="54">
        <v>65000</v>
      </c>
      <c r="G11" s="55">
        <v>46115</v>
      </c>
      <c r="H11" s="53" t="s">
        <v>204</v>
      </c>
    </row>
    <row r="14" spans="1:8" ht="21">
      <c r="C14" s="60">
        <v>9</v>
      </c>
      <c r="D14" s="60">
        <v>8</v>
      </c>
      <c r="E14" s="60">
        <v>4</v>
      </c>
      <c r="F14" s="60">
        <v>3</v>
      </c>
      <c r="G14" s="60">
        <v>2</v>
      </c>
    </row>
  </sheetData>
  <autoFilter ref="C1:H11" xr:uid="{0EB8B5CE-15A6-4F7D-B712-C683FCB75BDE}"/>
  <sortState xmlns:xlrd2="http://schemas.microsoft.com/office/spreadsheetml/2017/richdata2" columnSort="1" ref="C14:G14">
    <sortCondition descending="1" ref="C14:G14"/>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C053E-4516-45D4-B64A-4B120FC3884D}">
  <dimension ref="A1:G15"/>
  <sheetViews>
    <sheetView workbookViewId="0">
      <selection activeCell="C1" sqref="C1:G8"/>
    </sheetView>
  </sheetViews>
  <sheetFormatPr defaultRowHeight="14.4"/>
  <cols>
    <col min="1" max="1" width="71.88671875" bestFit="1" customWidth="1"/>
    <col min="3" max="3" width="17.109375" bestFit="1" customWidth="1"/>
    <col min="4" max="4" width="16.88671875" bestFit="1" customWidth="1"/>
    <col min="5" max="5" width="16.44140625" bestFit="1" customWidth="1"/>
    <col min="6" max="6" width="12.109375" bestFit="1" customWidth="1"/>
    <col min="7" max="7" width="16.6640625" bestFit="1" customWidth="1"/>
  </cols>
  <sheetData>
    <row r="1" spans="1:7" ht="21">
      <c r="A1" s="4" t="s">
        <v>0</v>
      </c>
      <c r="C1" s="64" t="s">
        <v>243</v>
      </c>
      <c r="D1" s="64" t="s">
        <v>244</v>
      </c>
      <c r="E1" s="64" t="s">
        <v>260</v>
      </c>
      <c r="F1" s="64" t="s">
        <v>106</v>
      </c>
      <c r="G1" s="64" t="s">
        <v>245</v>
      </c>
    </row>
    <row r="2" spans="1:7" ht="21">
      <c r="A2" s="9" t="s">
        <v>242</v>
      </c>
      <c r="C2" s="61" t="s">
        <v>246</v>
      </c>
      <c r="D2" s="61" t="s">
        <v>247</v>
      </c>
      <c r="E2" s="61">
        <v>50</v>
      </c>
      <c r="F2" s="61">
        <v>3</v>
      </c>
      <c r="G2" s="61">
        <f>E2*F2</f>
        <v>150</v>
      </c>
    </row>
    <row r="3" spans="1:7" ht="21">
      <c r="A3" s="9" t="s">
        <v>254</v>
      </c>
      <c r="C3" s="61" t="s">
        <v>246</v>
      </c>
      <c r="D3" s="61" t="s">
        <v>247</v>
      </c>
      <c r="E3" s="61">
        <v>20</v>
      </c>
      <c r="F3" s="61">
        <v>5</v>
      </c>
      <c r="G3" s="61">
        <f t="shared" ref="G3:G5" si="0">E3*F3</f>
        <v>100</v>
      </c>
    </row>
    <row r="4" spans="1:7" ht="21">
      <c r="A4" s="9" t="s">
        <v>253</v>
      </c>
      <c r="C4" s="61" t="s">
        <v>246</v>
      </c>
      <c r="D4" s="61" t="s">
        <v>247</v>
      </c>
      <c r="E4" s="61">
        <v>30</v>
      </c>
      <c r="F4" s="61">
        <v>4</v>
      </c>
      <c r="G4" s="61">
        <f t="shared" si="0"/>
        <v>120</v>
      </c>
    </row>
    <row r="5" spans="1:7" ht="21">
      <c r="A5" s="9" t="s">
        <v>255</v>
      </c>
      <c r="C5" s="61" t="s">
        <v>252</v>
      </c>
      <c r="D5" s="61" t="s">
        <v>247</v>
      </c>
      <c r="E5" s="61">
        <v>20</v>
      </c>
      <c r="F5" s="61">
        <v>2</v>
      </c>
      <c r="G5" s="61">
        <f t="shared" si="0"/>
        <v>40</v>
      </c>
    </row>
    <row r="6" spans="1:7" ht="21">
      <c r="A6" s="62" t="s">
        <v>258</v>
      </c>
      <c r="C6" s="61" t="s">
        <v>246</v>
      </c>
      <c r="D6" s="61" t="s">
        <v>247</v>
      </c>
      <c r="E6" s="61">
        <v>60</v>
      </c>
      <c r="F6" s="61">
        <v>3</v>
      </c>
      <c r="G6" s="61">
        <f>E6*F6</f>
        <v>180</v>
      </c>
    </row>
    <row r="7" spans="1:7" ht="21">
      <c r="A7" s="62" t="s">
        <v>256</v>
      </c>
      <c r="C7" s="61" t="s">
        <v>249</v>
      </c>
      <c r="D7" s="61" t="s">
        <v>250</v>
      </c>
      <c r="E7" s="61">
        <v>20</v>
      </c>
      <c r="F7" s="61">
        <v>4</v>
      </c>
      <c r="G7" s="61">
        <f t="shared" ref="G7:G8" si="1">E7*F7</f>
        <v>80</v>
      </c>
    </row>
    <row r="8" spans="1:7" ht="21">
      <c r="A8" s="62" t="s">
        <v>257</v>
      </c>
      <c r="C8" s="61" t="s">
        <v>252</v>
      </c>
      <c r="D8" s="61" t="s">
        <v>247</v>
      </c>
      <c r="E8" s="61">
        <v>30</v>
      </c>
      <c r="F8" s="61">
        <v>2</v>
      </c>
      <c r="G8" s="61">
        <f t="shared" si="1"/>
        <v>60</v>
      </c>
    </row>
    <row r="11" spans="1:7" ht="18">
      <c r="A11" s="63" t="s">
        <v>259</v>
      </c>
    </row>
    <row r="15" spans="1:7" ht="18">
      <c r="A15" s="63" t="s">
        <v>259</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DC1A8-E055-4561-966C-8E1AADD87637}">
  <dimension ref="A1:S15"/>
  <sheetViews>
    <sheetView zoomScale="115" zoomScaleNormal="115" workbookViewId="0">
      <selection sqref="A1:A2"/>
    </sheetView>
  </sheetViews>
  <sheetFormatPr defaultRowHeight="14.4"/>
  <cols>
    <col min="1" max="1" width="31.33203125" bestFit="1" customWidth="1"/>
    <col min="4" max="4" width="10.88671875" bestFit="1" customWidth="1"/>
    <col min="5" max="5" width="13.44140625" bestFit="1" customWidth="1"/>
    <col min="6" max="6" width="7.44140625" bestFit="1" customWidth="1"/>
    <col min="7" max="7" width="12.109375" bestFit="1" customWidth="1"/>
    <col min="8" max="8" width="7.5546875" bestFit="1" customWidth="1"/>
    <col min="13" max="13" width="11.5546875" bestFit="1" customWidth="1"/>
    <col min="14" max="14" width="11.77734375" bestFit="1" customWidth="1"/>
    <col min="15" max="15" width="9.21875" bestFit="1" customWidth="1"/>
    <col min="18" max="18" width="12.77734375" customWidth="1"/>
    <col min="19" max="19" width="8.88671875" customWidth="1"/>
  </cols>
  <sheetData>
    <row r="1" spans="1:19" ht="18">
      <c r="A1" s="4" t="s">
        <v>0</v>
      </c>
    </row>
    <row r="2" spans="1:19" ht="18">
      <c r="A2" s="9" t="s">
        <v>262</v>
      </c>
      <c r="D2" s="65" t="s">
        <v>261</v>
      </c>
      <c r="E2" s="65"/>
      <c r="F2" s="65"/>
      <c r="G2" s="65"/>
      <c r="H2" s="65"/>
      <c r="L2" s="65" t="s">
        <v>263</v>
      </c>
      <c r="M2" s="65"/>
      <c r="N2" s="65"/>
      <c r="O2" s="65"/>
      <c r="R2" s="65" t="s">
        <v>267</v>
      </c>
      <c r="S2" s="65"/>
    </row>
    <row r="3" spans="1:19" ht="21">
      <c r="D3" s="52" t="s">
        <v>243</v>
      </c>
      <c r="E3" s="52" t="s">
        <v>244</v>
      </c>
      <c r="F3" s="52" t="s">
        <v>107</v>
      </c>
      <c r="G3" s="52" t="s">
        <v>106</v>
      </c>
      <c r="H3" s="52" t="s">
        <v>245</v>
      </c>
      <c r="L3" s="52" t="s">
        <v>264</v>
      </c>
      <c r="M3" s="52" t="s">
        <v>265</v>
      </c>
      <c r="N3" s="52" t="s">
        <v>266</v>
      </c>
      <c r="O3" s="52" t="s">
        <v>116</v>
      </c>
      <c r="R3" s="52" t="s">
        <v>107</v>
      </c>
      <c r="S3" s="52"/>
    </row>
    <row r="4" spans="1:19" ht="21">
      <c r="D4" s="61" t="s">
        <v>246</v>
      </c>
      <c r="E4" s="61" t="s">
        <v>247</v>
      </c>
      <c r="F4" s="61">
        <v>50</v>
      </c>
      <c r="G4" s="61">
        <v>3</v>
      </c>
      <c r="H4" s="61">
        <f>F4*G4</f>
        <v>150</v>
      </c>
      <c r="I4">
        <f>G4*H4</f>
        <v>450</v>
      </c>
      <c r="K4">
        <v>2</v>
      </c>
      <c r="L4" s="61">
        <v>90</v>
      </c>
      <c r="M4" s="61">
        <v>30</v>
      </c>
      <c r="N4" s="61">
        <v>100</v>
      </c>
      <c r="O4" s="61">
        <v>25</v>
      </c>
      <c r="R4" s="61">
        <v>20</v>
      </c>
      <c r="S4" s="61"/>
    </row>
    <row r="5" spans="1:19" ht="21">
      <c r="D5" s="61" t="s">
        <v>248</v>
      </c>
      <c r="E5" s="61" t="s">
        <v>247</v>
      </c>
      <c r="F5" s="61">
        <v>20</v>
      </c>
      <c r="G5" s="61">
        <v>5</v>
      </c>
      <c r="H5" s="61">
        <f t="shared" ref="H5:H8" si="0">F5*G5</f>
        <v>100</v>
      </c>
      <c r="L5" s="61">
        <v>70</v>
      </c>
      <c r="M5" s="61">
        <v>40</v>
      </c>
      <c r="N5" s="61">
        <v>120</v>
      </c>
      <c r="O5" s="61">
        <v>30</v>
      </c>
      <c r="R5" s="61">
        <v>60</v>
      </c>
      <c r="S5" s="61">
        <v>60</v>
      </c>
    </row>
    <row r="6" spans="1:19" ht="21">
      <c r="D6" s="61" t="s">
        <v>249</v>
      </c>
      <c r="E6" s="61" t="s">
        <v>250</v>
      </c>
      <c r="F6" s="61">
        <v>30</v>
      </c>
      <c r="G6" s="61">
        <v>4</v>
      </c>
      <c r="H6" s="61">
        <f t="shared" si="0"/>
        <v>120</v>
      </c>
      <c r="L6" s="61">
        <v>80</v>
      </c>
      <c r="M6" s="61">
        <v>50</v>
      </c>
      <c r="N6" s="61">
        <v>140</v>
      </c>
      <c r="O6" s="61">
        <v>35</v>
      </c>
      <c r="R6" s="61">
        <v>30</v>
      </c>
      <c r="S6" s="61"/>
    </row>
    <row r="7" spans="1:19" ht="21">
      <c r="D7" s="61" t="s">
        <v>251</v>
      </c>
      <c r="E7" s="61" t="s">
        <v>250</v>
      </c>
      <c r="F7" s="61">
        <v>25</v>
      </c>
      <c r="G7" s="61">
        <v>6</v>
      </c>
      <c r="H7" s="61">
        <f t="shared" si="0"/>
        <v>150</v>
      </c>
      <c r="L7" s="61">
        <v>90</v>
      </c>
      <c r="M7" s="61">
        <v>60</v>
      </c>
      <c r="N7" s="61">
        <v>160</v>
      </c>
      <c r="O7" s="61">
        <v>40</v>
      </c>
      <c r="R7" s="61">
        <v>80</v>
      </c>
      <c r="S7" s="61">
        <v>80</v>
      </c>
    </row>
    <row r="8" spans="1:19" ht="21">
      <c r="D8" s="61" t="s">
        <v>252</v>
      </c>
      <c r="E8" s="61" t="s">
        <v>247</v>
      </c>
      <c r="F8" s="61">
        <v>60</v>
      </c>
      <c r="G8" s="61">
        <v>2</v>
      </c>
      <c r="H8" s="61">
        <f t="shared" si="0"/>
        <v>120</v>
      </c>
      <c r="L8" s="61">
        <v>100</v>
      </c>
      <c r="M8" s="61">
        <v>70</v>
      </c>
      <c r="N8" s="61">
        <v>180</v>
      </c>
      <c r="O8" s="61">
        <v>45</v>
      </c>
      <c r="R8" s="61">
        <v>35</v>
      </c>
      <c r="S8" s="61"/>
    </row>
    <row r="9" spans="1:19" ht="21">
      <c r="R9" s="61">
        <v>20</v>
      </c>
      <c r="S9" s="61"/>
    </row>
    <row r="10" spans="1:19" ht="21">
      <c r="D10" s="66" t="s">
        <v>243</v>
      </c>
      <c r="E10" s="66" t="s">
        <v>244</v>
      </c>
      <c r="F10" s="66" t="s">
        <v>107</v>
      </c>
      <c r="G10" s="66" t="s">
        <v>106</v>
      </c>
      <c r="H10" s="66" t="s">
        <v>245</v>
      </c>
      <c r="L10" s="52" t="str">
        <f t="shared" ref="L10:O15" si="1">L3</f>
        <v>Add</v>
      </c>
      <c r="M10" s="52" t="str">
        <f t="shared" si="1"/>
        <v>Subtract</v>
      </c>
      <c r="N10" s="52" t="str">
        <f t="shared" si="1"/>
        <v>Multiply</v>
      </c>
      <c r="O10" s="52" t="str">
        <f t="shared" si="1"/>
        <v>Divide</v>
      </c>
      <c r="R10" s="61">
        <v>55</v>
      </c>
      <c r="S10" s="61">
        <v>55</v>
      </c>
    </row>
    <row r="11" spans="1:19" ht="21">
      <c r="D11" s="67" t="s">
        <v>246</v>
      </c>
      <c r="E11" s="67" t="s">
        <v>247</v>
      </c>
      <c r="F11" s="67">
        <v>50</v>
      </c>
      <c r="G11" s="67">
        <v>3</v>
      </c>
      <c r="H11" s="67">
        <f>F11*G11</f>
        <v>150</v>
      </c>
      <c r="L11" s="61">
        <f t="shared" si="1"/>
        <v>90</v>
      </c>
      <c r="M11" s="61">
        <f t="shared" si="1"/>
        <v>30</v>
      </c>
      <c r="N11" s="61">
        <f t="shared" si="1"/>
        <v>100</v>
      </c>
      <c r="O11" s="61">
        <f t="shared" si="1"/>
        <v>25</v>
      </c>
      <c r="R11" s="61">
        <v>30</v>
      </c>
      <c r="S11" s="61"/>
    </row>
    <row r="12" spans="1:19" ht="21">
      <c r="D12" s="67" t="s">
        <v>248</v>
      </c>
      <c r="E12" s="67" t="s">
        <v>247</v>
      </c>
      <c r="F12" s="67">
        <v>20</v>
      </c>
      <c r="G12" s="67">
        <v>5</v>
      </c>
      <c r="H12" s="67">
        <f t="shared" ref="H12:H15" si="2">F12*G12</f>
        <v>100</v>
      </c>
      <c r="L12" s="61">
        <f t="shared" si="1"/>
        <v>70</v>
      </c>
      <c r="M12" s="61">
        <f t="shared" si="1"/>
        <v>40</v>
      </c>
      <c r="N12" s="61">
        <f t="shared" si="1"/>
        <v>120</v>
      </c>
      <c r="O12" s="61">
        <f t="shared" si="1"/>
        <v>30</v>
      </c>
      <c r="R12" s="61">
        <v>53</v>
      </c>
      <c r="S12" s="61">
        <v>53</v>
      </c>
    </row>
    <row r="13" spans="1:19" ht="21">
      <c r="D13" s="67" t="s">
        <v>249</v>
      </c>
      <c r="E13" s="67" t="s">
        <v>250</v>
      </c>
      <c r="F13" s="67">
        <v>30</v>
      </c>
      <c r="G13" s="67">
        <v>4</v>
      </c>
      <c r="H13" s="67">
        <f t="shared" si="2"/>
        <v>120</v>
      </c>
      <c r="L13" s="61">
        <f t="shared" si="1"/>
        <v>80</v>
      </c>
      <c r="M13" s="61">
        <f t="shared" si="1"/>
        <v>50</v>
      </c>
      <c r="N13" s="61">
        <f t="shared" si="1"/>
        <v>140</v>
      </c>
      <c r="O13" s="61">
        <f t="shared" si="1"/>
        <v>35</v>
      </c>
      <c r="R13" s="61">
        <v>85</v>
      </c>
      <c r="S13" s="61"/>
    </row>
    <row r="14" spans="1:19" ht="21">
      <c r="D14" s="67" t="s">
        <v>251</v>
      </c>
      <c r="E14" s="67" t="s">
        <v>250</v>
      </c>
      <c r="F14" s="67">
        <v>25</v>
      </c>
      <c r="G14" s="67">
        <v>6</v>
      </c>
      <c r="H14" s="67">
        <f t="shared" si="2"/>
        <v>150</v>
      </c>
      <c r="L14" s="61">
        <f t="shared" si="1"/>
        <v>90</v>
      </c>
      <c r="M14" s="61">
        <f t="shared" si="1"/>
        <v>60</v>
      </c>
      <c r="N14" s="61">
        <f t="shared" si="1"/>
        <v>160</v>
      </c>
      <c r="O14" s="61">
        <f t="shared" si="1"/>
        <v>40</v>
      </c>
    </row>
    <row r="15" spans="1:19" ht="21">
      <c r="D15" s="67" t="s">
        <v>252</v>
      </c>
      <c r="E15" s="67" t="s">
        <v>247</v>
      </c>
      <c r="F15" s="67">
        <v>60</v>
      </c>
      <c r="G15" s="67">
        <v>2</v>
      </c>
      <c r="H15" s="67">
        <f t="shared" si="2"/>
        <v>120</v>
      </c>
      <c r="L15" s="61">
        <f t="shared" si="1"/>
        <v>100</v>
      </c>
      <c r="M15" s="61">
        <f t="shared" si="1"/>
        <v>70</v>
      </c>
      <c r="N15" s="61">
        <f t="shared" si="1"/>
        <v>180</v>
      </c>
      <c r="O15" s="61">
        <f t="shared" si="1"/>
        <v>45</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54B77-0E22-4B40-B386-D89CB913F17D}">
  <dimension ref="A1:T15"/>
  <sheetViews>
    <sheetView topLeftCell="O1" workbookViewId="0">
      <selection activeCell="AI1" sqref="AI1"/>
    </sheetView>
  </sheetViews>
  <sheetFormatPr defaultRowHeight="18"/>
  <cols>
    <col min="1" max="1" width="56.44140625" style="72" bestFit="1" customWidth="1"/>
    <col min="2" max="2" width="8.88671875" style="72"/>
    <col min="3" max="3" width="9.33203125" style="72" bestFit="1" customWidth="1"/>
    <col min="4" max="4" width="6.6640625" style="72" bestFit="1" customWidth="1"/>
    <col min="5" max="5" width="9.109375" style="72" bestFit="1" customWidth="1"/>
    <col min="6" max="6" width="8.44140625" style="72" bestFit="1" customWidth="1"/>
    <col min="7" max="7" width="8.6640625" style="72" bestFit="1" customWidth="1"/>
    <col min="8" max="8" width="7.88671875" style="72" customWidth="1"/>
    <col min="9" max="9" width="9.77734375" style="72" bestFit="1" customWidth="1"/>
    <col min="10" max="10" width="11.88671875" style="72" bestFit="1" customWidth="1"/>
    <col min="11" max="11" width="11.44140625" style="72" bestFit="1" customWidth="1"/>
    <col min="12" max="12" width="12.44140625" style="72" bestFit="1" customWidth="1"/>
    <col min="13" max="17" width="8.88671875" style="72"/>
    <col min="18" max="18" width="14.5546875" style="72" customWidth="1"/>
    <col min="19" max="20" width="12.44140625" style="72" bestFit="1" customWidth="1"/>
    <col min="21" max="16384" width="8.88671875" style="72"/>
  </cols>
  <sheetData>
    <row r="1" spans="1:20">
      <c r="A1" s="4" t="s">
        <v>0</v>
      </c>
    </row>
    <row r="2" spans="1:20" ht="24.6" customHeight="1">
      <c r="A2" s="80" t="s">
        <v>304</v>
      </c>
      <c r="C2" s="73" t="s">
        <v>273</v>
      </c>
      <c r="D2" s="73" t="s">
        <v>97</v>
      </c>
      <c r="E2" s="73" t="s">
        <v>98</v>
      </c>
      <c r="F2" s="73" t="s">
        <v>99</v>
      </c>
      <c r="G2" s="73" t="s">
        <v>274</v>
      </c>
      <c r="H2" s="74" t="s">
        <v>104</v>
      </c>
      <c r="I2" s="74" t="s">
        <v>138</v>
      </c>
      <c r="J2" s="74" t="s">
        <v>280</v>
      </c>
      <c r="K2" s="74" t="s">
        <v>281</v>
      </c>
      <c r="M2" s="73" t="s">
        <v>98</v>
      </c>
      <c r="N2" s="73" t="s">
        <v>99</v>
      </c>
      <c r="O2" s="73" t="s">
        <v>274</v>
      </c>
      <c r="P2" s="74" t="s">
        <v>270</v>
      </c>
      <c r="Q2" s="74" t="s">
        <v>271</v>
      </c>
      <c r="R2" s="74" t="s">
        <v>272</v>
      </c>
      <c r="S2" s="74" t="s">
        <v>282</v>
      </c>
      <c r="T2" s="74" t="s">
        <v>282</v>
      </c>
    </row>
    <row r="3" spans="1:20">
      <c r="A3" s="77" t="s">
        <v>104</v>
      </c>
      <c r="C3" s="68" t="s">
        <v>92</v>
      </c>
      <c r="D3" s="68">
        <v>78</v>
      </c>
      <c r="E3" s="68">
        <v>65</v>
      </c>
      <c r="F3" s="68">
        <v>82</v>
      </c>
      <c r="G3" s="68">
        <v>74</v>
      </c>
      <c r="H3" s="68">
        <f>SUM(D3:G3)</f>
        <v>299</v>
      </c>
      <c r="I3" s="68">
        <f>AVERAGE(D3:G3)</f>
        <v>74.75</v>
      </c>
      <c r="J3" s="68">
        <f>MAX(D3:G3)</f>
        <v>82</v>
      </c>
      <c r="K3" s="68">
        <f>MIN(D3:G3)</f>
        <v>65</v>
      </c>
      <c r="M3" s="68" t="s">
        <v>287</v>
      </c>
      <c r="N3" s="68">
        <v>2333</v>
      </c>
      <c r="O3" s="68">
        <v>876</v>
      </c>
      <c r="P3" s="68">
        <f>COUNT(M3:O3)</f>
        <v>2</v>
      </c>
      <c r="Q3" s="68">
        <f>COUNTA(M3:O3)</f>
        <v>3</v>
      </c>
      <c r="R3" s="68">
        <f>COUNTBLANK(M3:O3)</f>
        <v>0</v>
      </c>
      <c r="S3" s="68">
        <f>Q3-P3</f>
        <v>1</v>
      </c>
      <c r="T3" s="68">
        <f>COUNTA(M3:O3)-COUNT(M3:O3)</f>
        <v>1</v>
      </c>
    </row>
    <row r="4" spans="1:20">
      <c r="A4" s="77" t="s">
        <v>138</v>
      </c>
      <c r="C4" s="68" t="s">
        <v>275</v>
      </c>
      <c r="D4" s="68">
        <v>55</v>
      </c>
      <c r="E4" s="68">
        <v>72</v>
      </c>
      <c r="F4" s="68">
        <v>68</v>
      </c>
      <c r="G4" s="68">
        <v>80</v>
      </c>
      <c r="H4" s="68">
        <f t="shared" ref="H4:H8" si="0">SUM(D4:G4)</f>
        <v>275</v>
      </c>
      <c r="I4" s="68">
        <f t="shared" ref="I4:I8" si="1">AVERAGE(D4:G4)</f>
        <v>68.75</v>
      </c>
      <c r="J4" s="68">
        <f t="shared" ref="J4:J8" si="2">MAX(D4:G4)</f>
        <v>80</v>
      </c>
      <c r="K4" s="68">
        <f t="shared" ref="K4:K8" si="3">MIN(D4:G4)</f>
        <v>55</v>
      </c>
      <c r="M4" s="68">
        <v>10</v>
      </c>
      <c r="N4" s="68">
        <v>0</v>
      </c>
      <c r="O4" s="68">
        <v>30</v>
      </c>
      <c r="P4" s="68">
        <f t="shared" ref="P4:P15" si="4">COUNT(M4:O4)</f>
        <v>3</v>
      </c>
      <c r="Q4" s="68">
        <f t="shared" ref="Q4:Q15" si="5">COUNTA(M4:O4)</f>
        <v>3</v>
      </c>
      <c r="R4" s="68">
        <f t="shared" ref="R4:R15" si="6">COUNTBLANK(M4:O4)</f>
        <v>0</v>
      </c>
      <c r="S4" s="68">
        <f t="shared" ref="S4:S15" si="7">Q4-P4</f>
        <v>0</v>
      </c>
      <c r="T4" s="68">
        <f t="shared" ref="T4:T15" si="8">COUNTA(M4:O4)-COUNT(M4:O4)</f>
        <v>0</v>
      </c>
    </row>
    <row r="5" spans="1:20">
      <c r="A5" s="77" t="s">
        <v>268</v>
      </c>
      <c r="C5" s="68" t="s">
        <v>276</v>
      </c>
      <c r="D5" s="68">
        <v>91</v>
      </c>
      <c r="E5" s="68">
        <v>88</v>
      </c>
      <c r="F5" s="68">
        <v>76</v>
      </c>
      <c r="G5" s="68">
        <v>69</v>
      </c>
      <c r="H5" s="68">
        <f t="shared" si="0"/>
        <v>324</v>
      </c>
      <c r="I5" s="68">
        <f t="shared" si="1"/>
        <v>81</v>
      </c>
      <c r="J5" s="68">
        <f t="shared" si="2"/>
        <v>91</v>
      </c>
      <c r="K5" s="68">
        <f t="shared" si="3"/>
        <v>69</v>
      </c>
      <c r="M5" s="68">
        <v>10</v>
      </c>
      <c r="N5" s="68">
        <v>-20</v>
      </c>
      <c r="O5" s="68">
        <v>30</v>
      </c>
      <c r="P5" s="68">
        <f t="shared" si="4"/>
        <v>3</v>
      </c>
      <c r="Q5" s="68">
        <f t="shared" si="5"/>
        <v>3</v>
      </c>
      <c r="R5" s="68">
        <f t="shared" si="6"/>
        <v>0</v>
      </c>
      <c r="S5" s="68">
        <f t="shared" si="7"/>
        <v>0</v>
      </c>
      <c r="T5" s="68">
        <f t="shared" si="8"/>
        <v>0</v>
      </c>
    </row>
    <row r="6" spans="1:20">
      <c r="A6" s="77" t="s">
        <v>269</v>
      </c>
      <c r="C6" s="68" t="s">
        <v>277</v>
      </c>
      <c r="D6" s="68">
        <v>63</v>
      </c>
      <c r="E6" s="68">
        <v>59</v>
      </c>
      <c r="F6" s="68">
        <v>84</v>
      </c>
      <c r="G6" s="68">
        <v>77</v>
      </c>
      <c r="H6" s="68">
        <f t="shared" si="0"/>
        <v>283</v>
      </c>
      <c r="I6" s="68">
        <f t="shared" si="1"/>
        <v>70.75</v>
      </c>
      <c r="J6" s="68">
        <f t="shared" si="2"/>
        <v>84</v>
      </c>
      <c r="K6" s="68">
        <f t="shared" si="3"/>
        <v>59</v>
      </c>
      <c r="M6" s="68">
        <v>10</v>
      </c>
      <c r="N6" s="68" t="s">
        <v>288</v>
      </c>
      <c r="O6" s="68">
        <v>30</v>
      </c>
      <c r="P6" s="68">
        <f t="shared" si="4"/>
        <v>2</v>
      </c>
      <c r="Q6" s="68">
        <f t="shared" si="5"/>
        <v>3</v>
      </c>
      <c r="R6" s="68">
        <f t="shared" si="6"/>
        <v>0</v>
      </c>
      <c r="S6" s="68">
        <f t="shared" si="7"/>
        <v>1</v>
      </c>
      <c r="T6" s="68">
        <f t="shared" si="8"/>
        <v>1</v>
      </c>
    </row>
    <row r="7" spans="1:20">
      <c r="A7" s="77" t="s">
        <v>283</v>
      </c>
      <c r="C7" s="68" t="s">
        <v>278</v>
      </c>
      <c r="D7" s="68">
        <v>85</v>
      </c>
      <c r="E7" s="68">
        <v>93</v>
      </c>
      <c r="F7" s="68">
        <v>71</v>
      </c>
      <c r="G7" s="68">
        <v>88</v>
      </c>
      <c r="H7" s="68">
        <f t="shared" si="0"/>
        <v>337</v>
      </c>
      <c r="I7" s="68">
        <f t="shared" si="1"/>
        <v>84.25</v>
      </c>
      <c r="J7" s="68">
        <f t="shared" si="2"/>
        <v>93</v>
      </c>
      <c r="K7" s="68">
        <f t="shared" si="3"/>
        <v>71</v>
      </c>
      <c r="M7" s="68">
        <v>10</v>
      </c>
      <c r="N7" s="68">
        <v>0.89583333333333337</v>
      </c>
      <c r="O7" s="68">
        <v>30</v>
      </c>
      <c r="P7" s="68">
        <f t="shared" si="4"/>
        <v>3</v>
      </c>
      <c r="Q7" s="68">
        <f t="shared" si="5"/>
        <v>3</v>
      </c>
      <c r="R7" s="68">
        <f t="shared" si="6"/>
        <v>0</v>
      </c>
      <c r="S7" s="68">
        <f t="shared" si="7"/>
        <v>0</v>
      </c>
      <c r="T7" s="68">
        <f t="shared" si="8"/>
        <v>0</v>
      </c>
    </row>
    <row r="8" spans="1:20">
      <c r="A8" s="77" t="s">
        <v>284</v>
      </c>
      <c r="C8" s="68" t="s">
        <v>279</v>
      </c>
      <c r="D8" s="68">
        <v>70</v>
      </c>
      <c r="E8" s="68">
        <v>81</v>
      </c>
      <c r="F8" s="68">
        <v>79</v>
      </c>
      <c r="G8" s="68">
        <v>66</v>
      </c>
      <c r="H8" s="68">
        <f t="shared" si="0"/>
        <v>296</v>
      </c>
      <c r="I8" s="68">
        <f t="shared" si="1"/>
        <v>74</v>
      </c>
      <c r="J8" s="68">
        <f t="shared" si="2"/>
        <v>81</v>
      </c>
      <c r="K8" s="68">
        <f t="shared" si="3"/>
        <v>66</v>
      </c>
      <c r="M8" s="68">
        <v>10</v>
      </c>
      <c r="N8" s="68" t="s">
        <v>289</v>
      </c>
      <c r="O8" s="68" t="s">
        <v>290</v>
      </c>
      <c r="P8" s="68">
        <f t="shared" si="4"/>
        <v>1</v>
      </c>
      <c r="Q8" s="68">
        <f t="shared" si="5"/>
        <v>3</v>
      </c>
      <c r="R8" s="68">
        <f t="shared" si="6"/>
        <v>0</v>
      </c>
      <c r="S8" s="68">
        <f t="shared" si="7"/>
        <v>2</v>
      </c>
      <c r="T8" s="68">
        <f t="shared" si="8"/>
        <v>2</v>
      </c>
    </row>
    <row r="9" spans="1:20">
      <c r="A9" s="77" t="s">
        <v>285</v>
      </c>
      <c r="M9" s="68">
        <v>10</v>
      </c>
      <c r="N9" s="68" t="s">
        <v>288</v>
      </c>
      <c r="O9" s="68">
        <v>30</v>
      </c>
      <c r="P9" s="68">
        <f t="shared" si="4"/>
        <v>2</v>
      </c>
      <c r="Q9" s="68">
        <f t="shared" si="5"/>
        <v>3</v>
      </c>
      <c r="R9" s="68">
        <f t="shared" si="6"/>
        <v>0</v>
      </c>
      <c r="S9" s="68">
        <f t="shared" si="7"/>
        <v>1</v>
      </c>
      <c r="T9" s="68">
        <f t="shared" si="8"/>
        <v>1</v>
      </c>
    </row>
    <row r="10" spans="1:20">
      <c r="A10" s="77" t="s">
        <v>286</v>
      </c>
      <c r="M10" s="68">
        <v>10</v>
      </c>
      <c r="N10" s="68" t="s">
        <v>291</v>
      </c>
      <c r="O10" s="68"/>
      <c r="P10" s="68">
        <f t="shared" si="4"/>
        <v>1</v>
      </c>
      <c r="Q10" s="68">
        <f t="shared" si="5"/>
        <v>2</v>
      </c>
      <c r="R10" s="68">
        <f t="shared" si="6"/>
        <v>1</v>
      </c>
      <c r="S10" s="68">
        <f t="shared" si="7"/>
        <v>1</v>
      </c>
      <c r="T10" s="68">
        <f t="shared" si="8"/>
        <v>1</v>
      </c>
    </row>
    <row r="11" spans="1:20">
      <c r="M11" s="68">
        <v>10</v>
      </c>
      <c r="N11" s="68">
        <v>788</v>
      </c>
      <c r="O11" s="68"/>
      <c r="P11" s="68">
        <f t="shared" si="4"/>
        <v>2</v>
      </c>
      <c r="Q11" s="68">
        <f t="shared" si="5"/>
        <v>2</v>
      </c>
      <c r="R11" s="68">
        <f t="shared" si="6"/>
        <v>1</v>
      </c>
      <c r="S11" s="68">
        <f t="shared" si="7"/>
        <v>0</v>
      </c>
      <c r="T11" s="68">
        <f t="shared" si="8"/>
        <v>0</v>
      </c>
    </row>
    <row r="12" spans="1:20">
      <c r="M12" s="68" t="s">
        <v>292</v>
      </c>
      <c r="N12" s="68"/>
      <c r="O12" s="68"/>
      <c r="P12" s="68">
        <f>COUNT(M12:O12)</f>
        <v>0</v>
      </c>
      <c r="Q12" s="68">
        <f t="shared" si="5"/>
        <v>1</v>
      </c>
      <c r="R12" s="68">
        <f t="shared" si="6"/>
        <v>2</v>
      </c>
      <c r="S12" s="68">
        <f t="shared" si="7"/>
        <v>1</v>
      </c>
      <c r="T12" s="68">
        <f t="shared" si="8"/>
        <v>1</v>
      </c>
    </row>
    <row r="13" spans="1:20">
      <c r="M13" s="68" t="s">
        <v>292</v>
      </c>
      <c r="N13" s="68">
        <v>8</v>
      </c>
      <c r="O13" s="68"/>
      <c r="P13" s="68">
        <f t="shared" si="4"/>
        <v>1</v>
      </c>
      <c r="Q13" s="68">
        <f t="shared" si="5"/>
        <v>2</v>
      </c>
      <c r="R13" s="68">
        <f t="shared" si="6"/>
        <v>1</v>
      </c>
      <c r="S13" s="68">
        <f t="shared" si="7"/>
        <v>1</v>
      </c>
      <c r="T13" s="68">
        <f t="shared" si="8"/>
        <v>1</v>
      </c>
    </row>
    <row r="14" spans="1:20">
      <c r="M14" s="68" t="s">
        <v>292</v>
      </c>
      <c r="N14" s="68">
        <v>7</v>
      </c>
      <c r="O14" s="68" t="s">
        <v>92</v>
      </c>
      <c r="P14" s="68">
        <f t="shared" si="4"/>
        <v>1</v>
      </c>
      <c r="Q14" s="68">
        <f t="shared" si="5"/>
        <v>3</v>
      </c>
      <c r="R14" s="68">
        <f t="shared" si="6"/>
        <v>0</v>
      </c>
      <c r="S14" s="68">
        <f t="shared" si="7"/>
        <v>2</v>
      </c>
      <c r="T14" s="68">
        <f t="shared" si="8"/>
        <v>2</v>
      </c>
    </row>
    <row r="15" spans="1:20">
      <c r="M15" s="68" t="s">
        <v>292</v>
      </c>
      <c r="N15" s="68" t="s">
        <v>292</v>
      </c>
      <c r="O15" s="68"/>
      <c r="P15" s="68">
        <f t="shared" si="4"/>
        <v>0</v>
      </c>
      <c r="Q15" s="68">
        <f t="shared" si="5"/>
        <v>2</v>
      </c>
      <c r="R15" s="68">
        <f t="shared" si="6"/>
        <v>1</v>
      </c>
      <c r="S15" s="68">
        <f t="shared" si="7"/>
        <v>2</v>
      </c>
      <c r="T15" s="68">
        <f t="shared" si="8"/>
        <v>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20EC0-5C09-4675-A313-35055D4593B9}">
  <dimension ref="A1:L18"/>
  <sheetViews>
    <sheetView workbookViewId="0">
      <selection activeCell="C2" sqref="C2"/>
    </sheetView>
  </sheetViews>
  <sheetFormatPr defaultRowHeight="14.4"/>
  <cols>
    <col min="1" max="1" width="61.109375" bestFit="1" customWidth="1"/>
    <col min="3" max="3" width="13.109375" bestFit="1" customWidth="1"/>
    <col min="4" max="4" width="7.44140625" bestFit="1" customWidth="1"/>
    <col min="5" max="5" width="12.109375" bestFit="1" customWidth="1"/>
    <col min="6" max="6" width="7.5546875" bestFit="1" customWidth="1"/>
    <col min="8" max="8" width="15.109375" customWidth="1"/>
    <col min="10" max="10" width="14.44140625" customWidth="1"/>
    <col min="12" max="12" width="19.44140625" customWidth="1"/>
  </cols>
  <sheetData>
    <row r="1" spans="1:12" ht="21">
      <c r="A1" s="4" t="s">
        <v>0</v>
      </c>
      <c r="J1" s="78" t="s">
        <v>293</v>
      </c>
      <c r="K1" s="79">
        <v>0.1</v>
      </c>
    </row>
    <row r="2" spans="1:12" ht="25.2" customHeight="1">
      <c r="A2" s="9" t="s">
        <v>302</v>
      </c>
      <c r="C2" s="70" t="s">
        <v>105</v>
      </c>
      <c r="D2" s="70" t="s">
        <v>107</v>
      </c>
      <c r="E2" s="70" t="s">
        <v>106</v>
      </c>
      <c r="F2" s="71" t="s">
        <v>245</v>
      </c>
      <c r="H2" s="70" t="s">
        <v>105</v>
      </c>
      <c r="I2" s="70" t="s">
        <v>107</v>
      </c>
      <c r="J2" s="70" t="s">
        <v>106</v>
      </c>
      <c r="K2" s="71" t="s">
        <v>245</v>
      </c>
      <c r="L2" s="71" t="s">
        <v>303</v>
      </c>
    </row>
    <row r="3" spans="1:12" ht="21">
      <c r="A3" s="77" t="s">
        <v>299</v>
      </c>
      <c r="C3" s="69" t="s">
        <v>294</v>
      </c>
      <c r="D3" s="69">
        <v>10</v>
      </c>
      <c r="E3" s="69">
        <v>5</v>
      </c>
      <c r="F3" s="69">
        <f>D3*E3</f>
        <v>50</v>
      </c>
      <c r="H3" s="69" t="s">
        <v>294</v>
      </c>
      <c r="I3" s="69">
        <v>10</v>
      </c>
      <c r="J3" s="69">
        <v>5</v>
      </c>
      <c r="K3" s="69">
        <f>I3*J3</f>
        <v>50</v>
      </c>
      <c r="L3" s="69">
        <f>K3*$K$1</f>
        <v>5</v>
      </c>
    </row>
    <row r="4" spans="1:12" ht="17.399999999999999" customHeight="1">
      <c r="A4" s="77" t="s">
        <v>300</v>
      </c>
      <c r="C4" s="69" t="s">
        <v>295</v>
      </c>
      <c r="D4" s="69">
        <v>25</v>
      </c>
      <c r="E4" s="69">
        <v>2</v>
      </c>
      <c r="F4" s="69">
        <f>D4*E4</f>
        <v>50</v>
      </c>
      <c r="H4" s="69" t="s">
        <v>295</v>
      </c>
      <c r="I4" s="69">
        <v>25</v>
      </c>
      <c r="J4" s="69">
        <v>2</v>
      </c>
      <c r="K4" s="69">
        <f t="shared" ref="K4:K7" si="0">I4*J4</f>
        <v>50</v>
      </c>
      <c r="L4" s="69">
        <f>K4*$K$1</f>
        <v>5</v>
      </c>
    </row>
    <row r="5" spans="1:12" ht="18" customHeight="1">
      <c r="A5" s="77" t="s">
        <v>301</v>
      </c>
      <c r="C5" s="69" t="s">
        <v>296</v>
      </c>
      <c r="D5" s="69">
        <v>5</v>
      </c>
      <c r="E5" s="69">
        <v>10</v>
      </c>
      <c r="F5" s="69">
        <f>D5*E5</f>
        <v>50</v>
      </c>
      <c r="H5" s="69" t="s">
        <v>296</v>
      </c>
      <c r="I5" s="69">
        <v>5</v>
      </c>
      <c r="J5" s="69">
        <v>10</v>
      </c>
      <c r="K5" s="69">
        <f t="shared" si="0"/>
        <v>50</v>
      </c>
      <c r="L5" s="69">
        <f>K5*$K$1</f>
        <v>5</v>
      </c>
    </row>
    <row r="6" spans="1:12" ht="18" customHeight="1">
      <c r="C6" s="69" t="s">
        <v>297</v>
      </c>
      <c r="D6" s="69">
        <v>15</v>
      </c>
      <c r="E6" s="69">
        <v>3</v>
      </c>
      <c r="F6" s="69">
        <f t="shared" ref="F6:F7" si="1">D6*E6</f>
        <v>45</v>
      </c>
      <c r="H6" s="69" t="s">
        <v>297</v>
      </c>
      <c r="I6" s="69">
        <v>15</v>
      </c>
      <c r="J6" s="69">
        <v>3</v>
      </c>
      <c r="K6" s="69">
        <f t="shared" si="0"/>
        <v>45</v>
      </c>
      <c r="L6" s="69">
        <f>K6*$K$1</f>
        <v>4.5</v>
      </c>
    </row>
    <row r="7" spans="1:12" ht="21">
      <c r="C7" s="69" t="s">
        <v>298</v>
      </c>
      <c r="D7" s="69">
        <v>20</v>
      </c>
      <c r="E7" s="69">
        <v>4</v>
      </c>
      <c r="F7" s="69">
        <f t="shared" si="1"/>
        <v>80</v>
      </c>
      <c r="H7" s="69" t="s">
        <v>298</v>
      </c>
      <c r="I7" s="69">
        <v>20</v>
      </c>
      <c r="J7" s="69">
        <v>4</v>
      </c>
      <c r="K7" s="69">
        <f t="shared" si="0"/>
        <v>80</v>
      </c>
      <c r="L7" s="69">
        <f t="shared" ref="L7" si="2">K7*$K$1</f>
        <v>8</v>
      </c>
    </row>
    <row r="9" spans="1:12" ht="18">
      <c r="D9" s="8"/>
      <c r="E9" s="8"/>
      <c r="F9" s="8"/>
      <c r="G9" s="8"/>
      <c r="H9" s="8"/>
      <c r="I9" s="8"/>
      <c r="J9" s="8"/>
    </row>
    <row r="10" spans="1:12" ht="18">
      <c r="C10" s="8">
        <v>50</v>
      </c>
      <c r="D10" s="75">
        <v>0</v>
      </c>
      <c r="E10" s="75">
        <v>1</v>
      </c>
      <c r="F10" s="75">
        <v>2</v>
      </c>
      <c r="G10" s="75">
        <v>3</v>
      </c>
      <c r="H10" s="75">
        <v>4</v>
      </c>
      <c r="I10" s="75">
        <v>5</v>
      </c>
      <c r="J10" s="75">
        <v>6</v>
      </c>
    </row>
    <row r="11" spans="1:12" ht="18">
      <c r="C11" s="75">
        <v>100</v>
      </c>
      <c r="D11" s="76">
        <f>$C11+D$10+$C$10</f>
        <v>150</v>
      </c>
      <c r="E11" s="76">
        <f t="shared" ref="E11:J18" si="3">$C11+E$10+$C$10</f>
        <v>151</v>
      </c>
      <c r="F11" s="76">
        <f t="shared" si="3"/>
        <v>152</v>
      </c>
      <c r="G11" s="76">
        <f t="shared" si="3"/>
        <v>153</v>
      </c>
      <c r="H11" s="76">
        <f t="shared" si="3"/>
        <v>154</v>
      </c>
      <c r="I11" s="76">
        <f t="shared" si="3"/>
        <v>155</v>
      </c>
      <c r="J11" s="76">
        <f t="shared" si="3"/>
        <v>156</v>
      </c>
    </row>
    <row r="12" spans="1:12" ht="18">
      <c r="C12" s="75">
        <v>200</v>
      </c>
      <c r="D12" s="76">
        <f t="shared" ref="D12:D18" si="4">$C12+D$10+$C$10</f>
        <v>250</v>
      </c>
      <c r="E12" s="76">
        <f t="shared" si="3"/>
        <v>251</v>
      </c>
      <c r="F12" s="76">
        <f t="shared" si="3"/>
        <v>252</v>
      </c>
      <c r="G12" s="76">
        <f t="shared" si="3"/>
        <v>253</v>
      </c>
      <c r="H12" s="76">
        <f t="shared" si="3"/>
        <v>254</v>
      </c>
      <c r="I12" s="76">
        <f t="shared" si="3"/>
        <v>255</v>
      </c>
      <c r="J12" s="76">
        <f t="shared" si="3"/>
        <v>256</v>
      </c>
    </row>
    <row r="13" spans="1:12" ht="18">
      <c r="C13" s="75">
        <v>300</v>
      </c>
      <c r="D13" s="76">
        <f t="shared" si="4"/>
        <v>350</v>
      </c>
      <c r="E13" s="76">
        <f t="shared" si="3"/>
        <v>351</v>
      </c>
      <c r="F13" s="76">
        <f t="shared" si="3"/>
        <v>352</v>
      </c>
      <c r="G13" s="76">
        <f t="shared" si="3"/>
        <v>353</v>
      </c>
      <c r="H13" s="76">
        <f t="shared" si="3"/>
        <v>354</v>
      </c>
      <c r="I13" s="76">
        <f t="shared" si="3"/>
        <v>355</v>
      </c>
      <c r="J13" s="76">
        <f t="shared" si="3"/>
        <v>356</v>
      </c>
    </row>
    <row r="14" spans="1:12" ht="18">
      <c r="C14" s="75">
        <v>400</v>
      </c>
      <c r="D14" s="76">
        <f t="shared" si="4"/>
        <v>450</v>
      </c>
      <c r="E14" s="76">
        <f t="shared" si="3"/>
        <v>451</v>
      </c>
      <c r="F14" s="76">
        <f t="shared" si="3"/>
        <v>452</v>
      </c>
      <c r="G14" s="76">
        <f t="shared" si="3"/>
        <v>453</v>
      </c>
      <c r="H14" s="76">
        <f t="shared" si="3"/>
        <v>454</v>
      </c>
      <c r="I14" s="76">
        <f t="shared" si="3"/>
        <v>455</v>
      </c>
      <c r="J14" s="76">
        <f t="shared" si="3"/>
        <v>456</v>
      </c>
    </row>
    <row r="15" spans="1:12" ht="18">
      <c r="C15" s="75">
        <v>500</v>
      </c>
      <c r="D15" s="76">
        <f t="shared" si="4"/>
        <v>550</v>
      </c>
      <c r="E15" s="76">
        <f t="shared" si="3"/>
        <v>551</v>
      </c>
      <c r="F15" s="76">
        <f t="shared" si="3"/>
        <v>552</v>
      </c>
      <c r="G15" s="76">
        <f t="shared" si="3"/>
        <v>553</v>
      </c>
      <c r="H15" s="76">
        <f t="shared" si="3"/>
        <v>554</v>
      </c>
      <c r="I15" s="76">
        <f t="shared" si="3"/>
        <v>555</v>
      </c>
      <c r="J15" s="76">
        <f t="shared" si="3"/>
        <v>556</v>
      </c>
    </row>
    <row r="16" spans="1:12" ht="18">
      <c r="C16" s="75">
        <v>600</v>
      </c>
      <c r="D16" s="76">
        <f t="shared" si="4"/>
        <v>650</v>
      </c>
      <c r="E16" s="76">
        <f t="shared" si="3"/>
        <v>651</v>
      </c>
      <c r="F16" s="76">
        <f t="shared" si="3"/>
        <v>652</v>
      </c>
      <c r="G16" s="76">
        <f t="shared" si="3"/>
        <v>653</v>
      </c>
      <c r="H16" s="76">
        <f t="shared" si="3"/>
        <v>654</v>
      </c>
      <c r="I16" s="76">
        <f t="shared" si="3"/>
        <v>655</v>
      </c>
      <c r="J16" s="76">
        <f t="shared" si="3"/>
        <v>656</v>
      </c>
    </row>
    <row r="17" spans="3:10" ht="18">
      <c r="C17" s="75">
        <v>700</v>
      </c>
      <c r="D17" s="76">
        <f t="shared" si="4"/>
        <v>750</v>
      </c>
      <c r="E17" s="76">
        <f t="shared" si="3"/>
        <v>751</v>
      </c>
      <c r="F17" s="76">
        <f t="shared" si="3"/>
        <v>752</v>
      </c>
      <c r="G17" s="76">
        <f t="shared" si="3"/>
        <v>753</v>
      </c>
      <c r="H17" s="76">
        <f t="shared" si="3"/>
        <v>754</v>
      </c>
      <c r="I17" s="76">
        <f t="shared" si="3"/>
        <v>755</v>
      </c>
      <c r="J17" s="76">
        <f t="shared" si="3"/>
        <v>756</v>
      </c>
    </row>
    <row r="18" spans="3:10" ht="18">
      <c r="C18" s="75">
        <v>800</v>
      </c>
      <c r="D18" s="76">
        <f t="shared" si="4"/>
        <v>850</v>
      </c>
      <c r="E18" s="76">
        <f t="shared" si="3"/>
        <v>851</v>
      </c>
      <c r="F18" s="76">
        <f t="shared" si="3"/>
        <v>852</v>
      </c>
      <c r="G18" s="76">
        <f t="shared" si="3"/>
        <v>853</v>
      </c>
      <c r="H18" s="76">
        <f t="shared" si="3"/>
        <v>854</v>
      </c>
      <c r="I18" s="76">
        <f t="shared" si="3"/>
        <v>855</v>
      </c>
      <c r="J18" s="76">
        <f t="shared" si="3"/>
        <v>856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B46E9-1F2E-4BF6-81BB-051654E28754}">
  <dimension ref="A1:AJ18"/>
  <sheetViews>
    <sheetView workbookViewId="0"/>
  </sheetViews>
  <sheetFormatPr defaultRowHeight="14.4"/>
  <cols>
    <col min="1" max="1" width="31.33203125" bestFit="1" customWidth="1"/>
    <col min="4" max="4" width="12.5546875" bestFit="1" customWidth="1"/>
    <col min="5" max="5" width="12.109375" bestFit="1" customWidth="1"/>
    <col min="6" max="7" width="19.33203125" customWidth="1"/>
    <col min="10" max="13" width="17.88671875" customWidth="1"/>
    <col min="16" max="16" width="22.33203125" customWidth="1"/>
    <col min="17" max="17" width="22.21875" bestFit="1" customWidth="1"/>
    <col min="18" max="18" width="14.6640625" customWidth="1"/>
    <col min="20" max="20" width="16" customWidth="1"/>
    <col min="21" max="21" width="23.5546875" bestFit="1" customWidth="1"/>
    <col min="22" max="22" width="22.21875" bestFit="1" customWidth="1"/>
    <col min="23" max="23" width="22.88671875" bestFit="1" customWidth="1"/>
    <col min="26" max="26" width="24.109375" bestFit="1" customWidth="1"/>
    <col min="27" max="28" width="20.6640625" bestFit="1" customWidth="1"/>
    <col min="29" max="29" width="25.21875" bestFit="1" customWidth="1"/>
    <col min="30" max="30" width="21.88671875" bestFit="1" customWidth="1"/>
    <col min="31" max="31" width="31.21875" bestFit="1" customWidth="1"/>
    <col min="32" max="32" width="12.33203125" customWidth="1"/>
    <col min="33" max="33" width="13.88671875" bestFit="1" customWidth="1"/>
    <col min="34" max="36" width="12.33203125" customWidth="1"/>
  </cols>
  <sheetData>
    <row r="1" spans="1:36" ht="18">
      <c r="A1" s="4" t="s">
        <v>0</v>
      </c>
      <c r="D1" s="81"/>
      <c r="E1" s="81"/>
      <c r="F1" s="81" t="s">
        <v>330</v>
      </c>
      <c r="G1" s="81" t="s">
        <v>331</v>
      </c>
      <c r="P1" s="82" t="s">
        <v>351</v>
      </c>
      <c r="U1" s="8" t="s">
        <v>360</v>
      </c>
      <c r="Z1" s="83" t="s">
        <v>374</v>
      </c>
    </row>
    <row r="2" spans="1:36" ht="22.2" customHeight="1">
      <c r="A2" s="80" t="s">
        <v>305</v>
      </c>
      <c r="D2" s="73" t="s">
        <v>315</v>
      </c>
      <c r="E2" s="73" t="s">
        <v>316</v>
      </c>
      <c r="F2" s="4" t="s">
        <v>329</v>
      </c>
      <c r="G2" s="4" t="s">
        <v>329</v>
      </c>
      <c r="J2" s="73" t="s">
        <v>332</v>
      </c>
      <c r="K2" s="4" t="s">
        <v>341</v>
      </c>
      <c r="L2" s="4" t="s">
        <v>342</v>
      </c>
      <c r="M2" s="4" t="s">
        <v>343</v>
      </c>
      <c r="P2" s="73" t="s">
        <v>347</v>
      </c>
      <c r="Q2" s="4" t="s">
        <v>350</v>
      </c>
      <c r="U2" s="73" t="s">
        <v>352</v>
      </c>
      <c r="V2" s="73" t="s">
        <v>353</v>
      </c>
      <c r="W2" s="4" t="s">
        <v>317</v>
      </c>
      <c r="Z2" s="73" t="s">
        <v>347</v>
      </c>
      <c r="AA2" s="4" t="s">
        <v>370</v>
      </c>
      <c r="AB2" s="4" t="s">
        <v>370</v>
      </c>
      <c r="AC2" s="4" t="s">
        <v>370</v>
      </c>
      <c r="AE2" s="73" t="s">
        <v>383</v>
      </c>
      <c r="AF2" s="4" t="s">
        <v>378</v>
      </c>
      <c r="AG2" s="4" t="s">
        <v>380</v>
      </c>
      <c r="AH2" s="4" t="s">
        <v>381</v>
      </c>
      <c r="AI2" s="4" t="s">
        <v>312</v>
      </c>
      <c r="AJ2" s="4" t="s">
        <v>313</v>
      </c>
    </row>
    <row r="3" spans="1:36" ht="22.2" customHeight="1">
      <c r="A3" s="77" t="s">
        <v>309</v>
      </c>
      <c r="D3" s="2" t="s">
        <v>102</v>
      </c>
      <c r="E3" s="2" t="s">
        <v>318</v>
      </c>
      <c r="F3" s="81" t="str">
        <f>CONCATENATE(D3," ",E3)</f>
        <v>Amit Sharma</v>
      </c>
      <c r="G3" s="81" t="str">
        <f>D3&amp;" "&amp;E3</f>
        <v>Amit Sharma</v>
      </c>
      <c r="J3" s="2" t="s">
        <v>333</v>
      </c>
      <c r="K3" s="56" t="str">
        <f>LOWER(J3)</f>
        <v>amit sharma</v>
      </c>
      <c r="L3" s="56" t="str">
        <f>UPPER(J3)</f>
        <v>AMIT SHARMA</v>
      </c>
      <c r="M3" s="56" t="str">
        <f>PROPER(J3)</f>
        <v>Amit Sharma</v>
      </c>
      <c r="P3" s="2" t="s">
        <v>418</v>
      </c>
      <c r="Q3" s="56" t="str">
        <f>TRIM(P3)</f>
        <v>Amit</v>
      </c>
      <c r="R3" t="s">
        <v>102</v>
      </c>
      <c r="U3" s="2" t="s">
        <v>354</v>
      </c>
      <c r="V3" s="2" t="s">
        <v>355</v>
      </c>
      <c r="W3" s="2" t="str">
        <f>SUBSTITUTE(U3,"Sales","Cost")</f>
        <v>Cost Data</v>
      </c>
      <c r="Z3" s="2" t="s">
        <v>371</v>
      </c>
      <c r="AA3" s="2" t="str" cm="1">
        <f t="array" ref="AA3:AC3">_xlfn.TEXTSPLIT(Z3,",")</f>
        <v>Amit</v>
      </c>
      <c r="AB3" s="2" t="str">
        <v>Sharma</v>
      </c>
      <c r="AC3" s="2" t="str">
        <v>Delhi</v>
      </c>
      <c r="AE3" s="2" t="s">
        <v>382</v>
      </c>
      <c r="AF3" s="4" t="str">
        <f>LEFT(AE3,6)</f>
        <v xml:space="preserve">Excel </v>
      </c>
      <c r="AG3" s="4" t="str">
        <f>RIGHT(AE3,10)</f>
        <v>Amit Kumar</v>
      </c>
      <c r="AH3" s="4" t="str">
        <f>MID(AE3,7,8)</f>
        <v>Tutorial</v>
      </c>
      <c r="AI3" s="4">
        <f>FIND("By",AE3)</f>
        <v>16</v>
      </c>
      <c r="AJ3" s="4">
        <f>SEARCH("by",AE3)</f>
        <v>16</v>
      </c>
    </row>
    <row r="4" spans="1:36" ht="18">
      <c r="A4" s="77" t="s">
        <v>310</v>
      </c>
      <c r="D4" s="2" t="s">
        <v>101</v>
      </c>
      <c r="E4" s="2" t="s">
        <v>319</v>
      </c>
      <c r="F4" s="81" t="str">
        <f t="shared" ref="F4:F7" si="0">CONCATENATE(D4," ",E4)</f>
        <v>Priya Mehta</v>
      </c>
      <c r="G4" s="81" t="str">
        <f t="shared" ref="G4:G7" si="1">D4&amp;" "&amp;E4</f>
        <v>Priya Mehta</v>
      </c>
      <c r="J4" s="2" t="s">
        <v>334</v>
      </c>
      <c r="K4" s="56" t="str">
        <f t="shared" ref="K4:K7" si="2">LOWER(J4)</f>
        <v>priya mehta</v>
      </c>
      <c r="L4" s="56" t="str">
        <f t="shared" ref="L4:L7" si="3">UPPER(J4)</f>
        <v>PRIYA MEHTA</v>
      </c>
      <c r="M4" s="56" t="str">
        <f t="shared" ref="M4:M7" si="4">PROPER(J4)</f>
        <v>Priya Mehta</v>
      </c>
      <c r="P4" s="2" t="s">
        <v>422</v>
      </c>
      <c r="Q4" s="56" t="str">
        <f t="shared" ref="Q4:Q7" si="5">TRIM(P4)</f>
        <v>Priya Mehta</v>
      </c>
      <c r="R4" t="s">
        <v>335</v>
      </c>
      <c r="U4" s="2" t="s">
        <v>356</v>
      </c>
      <c r="V4" s="2" t="s">
        <v>357</v>
      </c>
      <c r="W4" s="2" t="str">
        <f t="shared" ref="W4:W6" si="6">SUBSTITUTE(U4,"Sales","Cost")</f>
        <v>Cost Data Cost</v>
      </c>
      <c r="Z4" s="2" t="s">
        <v>372</v>
      </c>
      <c r="AA4" s="2" t="str" cm="1">
        <f t="array" ref="AA4:AC4">_xlfn.TEXTSPLIT(Z4,",")</f>
        <v>Priya</v>
      </c>
      <c r="AB4" s="2" t="str">
        <v>Mehta</v>
      </c>
      <c r="AC4" s="2" t="str">
        <v>Mumbai</v>
      </c>
      <c r="AF4" t="s">
        <v>427</v>
      </c>
    </row>
    <row r="5" spans="1:36" ht="18">
      <c r="A5" s="77" t="s">
        <v>308</v>
      </c>
      <c r="D5" s="2" t="s">
        <v>321</v>
      </c>
      <c r="E5" s="2" t="s">
        <v>322</v>
      </c>
      <c r="F5" s="81" t="str">
        <f t="shared" si="0"/>
        <v>Raj Gupta</v>
      </c>
      <c r="G5" s="81" t="str">
        <f t="shared" si="1"/>
        <v>Raj Gupta</v>
      </c>
      <c r="J5" s="2" t="s">
        <v>336</v>
      </c>
      <c r="K5" s="56" t="str">
        <f t="shared" si="2"/>
        <v>raj gupta</v>
      </c>
      <c r="L5" s="56" t="str">
        <f t="shared" si="3"/>
        <v>RAJ GUPTA</v>
      </c>
      <c r="M5" s="56" t="str">
        <f t="shared" si="4"/>
        <v>Raj Gupta</v>
      </c>
      <c r="P5" s="2" t="s">
        <v>419</v>
      </c>
      <c r="Q5" s="56" t="str">
        <f t="shared" si="5"/>
        <v>Raj Gupta</v>
      </c>
      <c r="R5" t="s">
        <v>337</v>
      </c>
      <c r="U5" s="2" t="s">
        <v>356</v>
      </c>
      <c r="V5" s="2" t="s">
        <v>358</v>
      </c>
      <c r="W5" s="2" t="str">
        <f>SUBSTITUTE(U5,"Sales","Cost",2)</f>
        <v>Sales Data Cost</v>
      </c>
      <c r="Z5" s="2" t="s">
        <v>373</v>
      </c>
      <c r="AA5" s="2" t="str" cm="1">
        <f t="array" ref="AA5:AC5">_xlfn.TEXTSPLIT(Z5,",")</f>
        <v>Raj</v>
      </c>
      <c r="AB5" s="2" t="str">
        <v>Gupta</v>
      </c>
      <c r="AC5" s="2" t="str">
        <v>Kolkata</v>
      </c>
      <c r="AE5">
        <v>5</v>
      </c>
    </row>
    <row r="6" spans="1:36" ht="18">
      <c r="A6" s="77" t="s">
        <v>311</v>
      </c>
      <c r="D6" s="2" t="s">
        <v>324</v>
      </c>
      <c r="E6" s="2" t="s">
        <v>179</v>
      </c>
      <c r="F6" s="81" t="str">
        <f t="shared" si="0"/>
        <v>Sneha Verma</v>
      </c>
      <c r="G6" s="81" t="str">
        <f t="shared" si="1"/>
        <v>Sneha Verma</v>
      </c>
      <c r="J6" s="2" t="s">
        <v>338</v>
      </c>
      <c r="K6" s="56" t="str">
        <f t="shared" si="2"/>
        <v>sneha verma</v>
      </c>
      <c r="L6" s="56" t="str">
        <f t="shared" si="3"/>
        <v>SNEHA VERMA</v>
      </c>
      <c r="M6" s="56" t="str">
        <f t="shared" si="4"/>
        <v>Sneha Verma</v>
      </c>
      <c r="P6" s="2" t="s">
        <v>420</v>
      </c>
      <c r="Q6" s="56" t="str">
        <f t="shared" si="5"/>
        <v>Sneha Verma</v>
      </c>
      <c r="R6" t="s">
        <v>339</v>
      </c>
      <c r="U6" s="2" t="s">
        <v>359</v>
      </c>
      <c r="V6" s="2" t="s">
        <v>424</v>
      </c>
      <c r="W6" s="2" t="str">
        <f>SUBSTITUTE(U6,"Sales","Cost",3)</f>
        <v>Sales Data Sales Cost</v>
      </c>
      <c r="Z6" s="106" t="s">
        <v>426</v>
      </c>
      <c r="AA6" s="2" t="str" cm="1">
        <f t="array" ref="AA6:AC6">_xlfn.TEXTSPLIT(Z6,"@")</f>
        <v>Sneha</v>
      </c>
      <c r="AB6" s="2" t="str">
        <v>Verma</v>
      </c>
      <c r="AC6" s="2" t="str">
        <v>Chennai</v>
      </c>
      <c r="AE6">
        <v>1</v>
      </c>
    </row>
    <row r="7" spans="1:36" ht="18">
      <c r="A7" s="77" t="s">
        <v>306</v>
      </c>
      <c r="D7" s="2" t="s">
        <v>326</v>
      </c>
      <c r="E7" s="2" t="s">
        <v>327</v>
      </c>
      <c r="F7" s="81" t="str">
        <f t="shared" si="0"/>
        <v>Arjun Patel</v>
      </c>
      <c r="G7" s="81" t="str">
        <f t="shared" si="1"/>
        <v>Arjun Patel</v>
      </c>
      <c r="J7" s="2" t="s">
        <v>340</v>
      </c>
      <c r="K7" s="56" t="str">
        <f t="shared" si="2"/>
        <v>arjun patel</v>
      </c>
      <c r="L7" s="56" t="str">
        <f t="shared" si="3"/>
        <v>ARJUN PATEL</v>
      </c>
      <c r="M7" s="56" t="str">
        <f t="shared" si="4"/>
        <v>Arjun Patel</v>
      </c>
      <c r="P7" s="2" t="s">
        <v>421</v>
      </c>
      <c r="Q7" s="56" t="str">
        <f t="shared" si="5"/>
        <v>Arjun Patel</v>
      </c>
      <c r="R7" t="s">
        <v>423</v>
      </c>
      <c r="Z7" s="2" t="s">
        <v>425</v>
      </c>
      <c r="AA7" s="2" t="str" cm="1">
        <f t="array" ref="AA7:AC7">_xlfn.TEXTSPLIT(Z7," ")</f>
        <v>Arjun</v>
      </c>
      <c r="AB7" s="2" t="str">
        <v>Patel</v>
      </c>
      <c r="AC7" s="2" t="str">
        <v>Bangalore</v>
      </c>
      <c r="AE7">
        <v>8</v>
      </c>
    </row>
    <row r="8" spans="1:36" ht="18">
      <c r="A8" s="77" t="s">
        <v>307</v>
      </c>
      <c r="U8" s="84" t="s">
        <v>361</v>
      </c>
      <c r="V8" s="56"/>
      <c r="W8" s="56"/>
      <c r="AE8">
        <v>1</v>
      </c>
    </row>
    <row r="9" spans="1:36" ht="18">
      <c r="A9" s="77" t="s">
        <v>314</v>
      </c>
      <c r="U9" s="56" t="s">
        <v>362</v>
      </c>
      <c r="V9" s="56" t="s">
        <v>363</v>
      </c>
      <c r="W9" s="56"/>
    </row>
    <row r="10" spans="1:36" ht="18">
      <c r="A10" s="77" t="s">
        <v>376</v>
      </c>
      <c r="U10" s="56" t="s">
        <v>364</v>
      </c>
      <c r="V10" s="56" t="s">
        <v>365</v>
      </c>
      <c r="W10" s="56"/>
    </row>
    <row r="11" spans="1:36" ht="18">
      <c r="A11" s="77" t="s">
        <v>377</v>
      </c>
      <c r="J11" s="73" t="s">
        <v>347</v>
      </c>
      <c r="K11" s="4" t="s">
        <v>348</v>
      </c>
      <c r="P11" s="83" t="s">
        <v>345</v>
      </c>
      <c r="U11" s="56" t="s">
        <v>366</v>
      </c>
      <c r="V11" s="56" t="s">
        <v>367</v>
      </c>
      <c r="W11" s="56"/>
      <c r="Z11" s="83" t="s">
        <v>375</v>
      </c>
    </row>
    <row r="12" spans="1:36" ht="18">
      <c r="A12" s="77" t="s">
        <v>379</v>
      </c>
      <c r="J12" s="2" t="s">
        <v>102</v>
      </c>
      <c r="K12" s="56">
        <f>LEN(J12)</f>
        <v>4</v>
      </c>
      <c r="P12" s="2"/>
      <c r="Q12" s="2"/>
      <c r="R12" s="4" t="s">
        <v>346</v>
      </c>
      <c r="S12" s="4" t="s">
        <v>311</v>
      </c>
      <c r="U12" s="56" t="s">
        <v>368</v>
      </c>
      <c r="V12" s="56" t="s">
        <v>369</v>
      </c>
      <c r="W12" s="56"/>
      <c r="Z12" s="73" t="s">
        <v>347</v>
      </c>
      <c r="AA12" s="73" t="s">
        <v>347</v>
      </c>
      <c r="AB12" s="73" t="s">
        <v>347</v>
      </c>
      <c r="AC12" s="4" t="s">
        <v>317</v>
      </c>
    </row>
    <row r="13" spans="1:36" ht="18">
      <c r="A13" s="77" t="s">
        <v>312</v>
      </c>
      <c r="J13" s="2" t="s">
        <v>335</v>
      </c>
      <c r="K13" s="56">
        <f t="shared" ref="K13:K16" si="7">LEN(J13)</f>
        <v>11</v>
      </c>
      <c r="P13" s="2" t="s">
        <v>49</v>
      </c>
      <c r="Q13" s="2" t="s">
        <v>344</v>
      </c>
      <c r="R13" s="2" t="b">
        <f>P13=Q13</f>
        <v>1</v>
      </c>
      <c r="S13" s="2" t="b">
        <f>EXACT(P13,Q13)</f>
        <v>0</v>
      </c>
      <c r="Z13" s="2" t="s">
        <v>102</v>
      </c>
      <c r="AA13" s="2" t="s">
        <v>318</v>
      </c>
      <c r="AB13" s="2" t="s">
        <v>49</v>
      </c>
      <c r="AC13" s="2" t="str">
        <f>_xlfn.TEXTJOIN(", ",TRUE,Z13,AA13,AB13)</f>
        <v>Amit, Sharma, Delhi</v>
      </c>
    </row>
    <row r="14" spans="1:36" ht="18">
      <c r="A14" s="77" t="s">
        <v>313</v>
      </c>
      <c r="J14" s="2" t="s">
        <v>337</v>
      </c>
      <c r="K14" s="56">
        <f t="shared" si="7"/>
        <v>9</v>
      </c>
      <c r="Z14" s="2" t="s">
        <v>101</v>
      </c>
      <c r="AA14" s="2" t="s">
        <v>319</v>
      </c>
      <c r="AB14" s="2" t="s">
        <v>320</v>
      </c>
      <c r="AC14" s="2" t="str">
        <f t="shared" ref="AC14:AC17" si="8">_xlfn.TEXTJOIN(", ",TRUE,Z14,AA14,AB14)</f>
        <v>Priya, Mehta, Mumbai</v>
      </c>
    </row>
    <row r="15" spans="1:36" ht="18">
      <c r="A15" s="77"/>
      <c r="J15" s="2" t="s">
        <v>339</v>
      </c>
      <c r="K15" s="56">
        <f t="shared" si="7"/>
        <v>11</v>
      </c>
      <c r="Z15" s="2" t="s">
        <v>321</v>
      </c>
      <c r="AA15" s="2" t="s">
        <v>322</v>
      </c>
      <c r="AB15" s="2" t="s">
        <v>323</v>
      </c>
      <c r="AC15" s="2" t="str">
        <f t="shared" si="8"/>
        <v>Raj, Gupta, Kolkata</v>
      </c>
    </row>
    <row r="16" spans="1:36" ht="18">
      <c r="A16" s="77"/>
      <c r="J16" s="2" t="s">
        <v>349</v>
      </c>
      <c r="K16" s="56">
        <f t="shared" si="7"/>
        <v>15</v>
      </c>
      <c r="Z16" s="2" t="s">
        <v>324</v>
      </c>
      <c r="AA16" s="2" t="s">
        <v>179</v>
      </c>
      <c r="AB16" s="2" t="s">
        <v>325</v>
      </c>
      <c r="AC16" s="2" t="str">
        <f t="shared" si="8"/>
        <v>Sneha, Verma, Chennai</v>
      </c>
    </row>
    <row r="17" spans="1:29" ht="18">
      <c r="A17" s="77"/>
      <c r="Z17" s="2" t="s">
        <v>326</v>
      </c>
      <c r="AA17" s="2" t="s">
        <v>327</v>
      </c>
      <c r="AB17" s="2" t="s">
        <v>328</v>
      </c>
      <c r="AC17" s="2" t="str">
        <f t="shared" si="8"/>
        <v>Arjun, Patel, Bangalore</v>
      </c>
    </row>
    <row r="18" spans="1:29" ht="18">
      <c r="A18" s="77"/>
    </row>
  </sheetData>
  <hyperlinks>
    <hyperlink ref="Z6" r:id="rId1" xr:uid="{48E1502F-D5E1-4EAE-A8E3-A30DB5F908B2}"/>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F84DB-9966-4980-966C-BE049B89999B}">
  <dimension ref="A1:BN18"/>
  <sheetViews>
    <sheetView tabSelected="1" workbookViewId="0"/>
  </sheetViews>
  <sheetFormatPr defaultRowHeight="14.4"/>
  <cols>
    <col min="1" max="1" width="33" bestFit="1" customWidth="1"/>
    <col min="4" max="4" width="14.44140625" bestFit="1" customWidth="1"/>
    <col min="5" max="6" width="20" bestFit="1" customWidth="1"/>
    <col min="9" max="9" width="17.77734375" bestFit="1" customWidth="1"/>
    <col min="10" max="10" width="15.6640625" bestFit="1" customWidth="1"/>
    <col min="11" max="15" width="12.44140625" customWidth="1"/>
    <col min="18" max="18" width="14.33203125" bestFit="1" customWidth="1"/>
    <col min="19" max="19" width="14.6640625" bestFit="1" customWidth="1"/>
    <col min="20" max="20" width="14.33203125" bestFit="1" customWidth="1"/>
    <col min="21" max="22" width="15.109375" customWidth="1"/>
    <col min="23" max="23" width="18.88671875" bestFit="1" customWidth="1"/>
    <col min="24" max="24" width="18.88671875" customWidth="1"/>
    <col min="25" max="26" width="27.44140625" bestFit="1" customWidth="1"/>
    <col min="27" max="28" width="27.44140625" customWidth="1"/>
    <col min="29" max="34" width="15.109375" customWidth="1"/>
    <col min="35" max="35" width="13.88671875" bestFit="1" customWidth="1"/>
    <col min="36" max="36" width="14.33203125" bestFit="1" customWidth="1"/>
    <col min="37" max="37" width="10.88671875" bestFit="1" customWidth="1"/>
    <col min="38" max="38" width="17.88671875" bestFit="1" customWidth="1"/>
    <col min="39" max="39" width="17.77734375" bestFit="1" customWidth="1"/>
    <col min="40" max="41" width="19" bestFit="1" customWidth="1"/>
    <col min="44" max="44" width="13.88671875" bestFit="1" customWidth="1"/>
    <col min="45" max="45" width="14.6640625" bestFit="1" customWidth="1"/>
    <col min="46" max="46" width="10.44140625" bestFit="1" customWidth="1"/>
    <col min="47" max="47" width="16.109375" bestFit="1" customWidth="1"/>
    <col min="48" max="48" width="14.109375" bestFit="1" customWidth="1"/>
    <col min="49" max="51" width="10.44140625" bestFit="1" customWidth="1"/>
    <col min="62" max="62" width="21" bestFit="1" customWidth="1"/>
    <col min="63" max="63" width="12.109375" bestFit="1" customWidth="1"/>
    <col min="64" max="64" width="7.44140625" bestFit="1" customWidth="1"/>
    <col min="65" max="65" width="13" bestFit="1" customWidth="1"/>
    <col min="66" max="66" width="10.21875" bestFit="1" customWidth="1"/>
  </cols>
  <sheetData>
    <row r="1" spans="1:66" ht="18">
      <c r="A1" s="4" t="s">
        <v>0</v>
      </c>
      <c r="F1" s="2" t="s">
        <v>394</v>
      </c>
      <c r="J1" t="s">
        <v>388</v>
      </c>
      <c r="AL1" t="s">
        <v>406</v>
      </c>
      <c r="AM1" t="s">
        <v>406</v>
      </c>
      <c r="AT1" s="82" t="s">
        <v>386</v>
      </c>
      <c r="AU1" s="82" t="s">
        <v>435</v>
      </c>
      <c r="AV1" s="82" t="s">
        <v>436</v>
      </c>
      <c r="AW1" s="82"/>
      <c r="AX1" s="82"/>
      <c r="AY1" s="82"/>
    </row>
    <row r="2" spans="1:66" ht="22.2" customHeight="1">
      <c r="A2" s="80" t="s">
        <v>409</v>
      </c>
      <c r="D2" s="73"/>
      <c r="E2" s="4" t="s">
        <v>391</v>
      </c>
      <c r="F2" s="4" t="s">
        <v>392</v>
      </c>
      <c r="I2" s="85" t="s">
        <v>387</v>
      </c>
      <c r="J2" s="91" t="s">
        <v>387</v>
      </c>
      <c r="K2" s="92"/>
      <c r="L2" s="93"/>
      <c r="U2" t="s">
        <v>444</v>
      </c>
      <c r="V2">
        <v>360</v>
      </c>
      <c r="W2" s="83" t="s">
        <v>404</v>
      </c>
      <c r="X2" s="83" t="s">
        <v>403</v>
      </c>
      <c r="Y2" s="83" t="s">
        <v>404</v>
      </c>
      <c r="Z2" s="83" t="s">
        <v>403</v>
      </c>
      <c r="AB2" s="83"/>
      <c r="AL2" s="83" t="s">
        <v>404</v>
      </c>
      <c r="AM2" s="83" t="s">
        <v>403</v>
      </c>
      <c r="AN2" s="83" t="s">
        <v>404</v>
      </c>
      <c r="AO2" s="83" t="s">
        <v>403</v>
      </c>
      <c r="AT2" s="82" t="s">
        <v>277</v>
      </c>
      <c r="AU2" s="82" t="s">
        <v>433</v>
      </c>
      <c r="AV2" s="82" t="s">
        <v>434</v>
      </c>
      <c r="AW2" s="82" t="s">
        <v>441</v>
      </c>
      <c r="AX2" s="82" t="s">
        <v>438</v>
      </c>
      <c r="AY2" s="82" t="s">
        <v>439</v>
      </c>
    </row>
    <row r="3" spans="1:66" ht="22.2" customHeight="1">
      <c r="A3" s="77" t="s">
        <v>390</v>
      </c>
      <c r="D3" s="2" t="s">
        <v>390</v>
      </c>
      <c r="E3" s="86">
        <f ca="1">TODAY()</f>
        <v>46154</v>
      </c>
      <c r="F3" s="107">
        <v>46154</v>
      </c>
      <c r="I3" s="52" t="s">
        <v>127</v>
      </c>
      <c r="J3" s="64" t="s">
        <v>386</v>
      </c>
      <c r="K3" s="64" t="s">
        <v>384</v>
      </c>
      <c r="L3" s="64" t="s">
        <v>385</v>
      </c>
      <c r="M3" s="64" t="s">
        <v>389</v>
      </c>
      <c r="N3" s="64" t="s">
        <v>384</v>
      </c>
      <c r="O3" s="64" t="s">
        <v>385</v>
      </c>
      <c r="R3" s="52" t="s">
        <v>397</v>
      </c>
      <c r="S3" s="52" t="s">
        <v>398</v>
      </c>
      <c r="T3" s="52" t="s">
        <v>399</v>
      </c>
      <c r="U3" s="64" t="s">
        <v>386</v>
      </c>
      <c r="V3" s="64" t="s">
        <v>400</v>
      </c>
      <c r="W3" s="64" t="s">
        <v>401</v>
      </c>
      <c r="X3" s="64" t="s">
        <v>401</v>
      </c>
      <c r="Y3" s="64" t="s">
        <v>402</v>
      </c>
      <c r="Z3" s="64" t="s">
        <v>402</v>
      </c>
      <c r="AB3" s="83"/>
      <c r="AD3" s="52" t="s">
        <v>397</v>
      </c>
      <c r="AE3" s="52" t="s">
        <v>430</v>
      </c>
      <c r="AF3" s="64" t="s">
        <v>428</v>
      </c>
      <c r="AG3" s="64" t="s">
        <v>429</v>
      </c>
      <c r="AI3" s="52" t="s">
        <v>397</v>
      </c>
      <c r="AJ3" s="52" t="s">
        <v>399</v>
      </c>
      <c r="AK3" s="52" t="s">
        <v>386</v>
      </c>
      <c r="AL3" s="64" t="s">
        <v>405</v>
      </c>
      <c r="AM3" s="64" t="s">
        <v>405</v>
      </c>
      <c r="AN3" s="64" t="s">
        <v>407</v>
      </c>
      <c r="AO3" s="64" t="s">
        <v>407</v>
      </c>
      <c r="AR3" s="52" t="s">
        <v>397</v>
      </c>
      <c r="AS3" s="52" t="s">
        <v>398</v>
      </c>
      <c r="AT3" s="64" t="s">
        <v>432</v>
      </c>
      <c r="AU3" s="64" t="s">
        <v>432</v>
      </c>
      <c r="AV3" s="64" t="s">
        <v>432</v>
      </c>
      <c r="AW3" s="64" t="s">
        <v>432</v>
      </c>
      <c r="AX3" s="64" t="s">
        <v>432</v>
      </c>
      <c r="AY3" s="64" t="s">
        <v>432</v>
      </c>
      <c r="BJ3" s="52" t="s">
        <v>413</v>
      </c>
      <c r="BK3" s="52" t="s">
        <v>414</v>
      </c>
      <c r="BL3" s="64" t="s">
        <v>410</v>
      </c>
      <c r="BM3" s="64" t="s">
        <v>411</v>
      </c>
      <c r="BN3" s="64" t="s">
        <v>412</v>
      </c>
    </row>
    <row r="4" spans="1:66" ht="21">
      <c r="A4" s="77" t="s">
        <v>393</v>
      </c>
      <c r="I4" s="55">
        <v>46085</v>
      </c>
      <c r="J4" s="55" t="str">
        <f>TEXT(I4,"DDDD")</f>
        <v>Wednesday</v>
      </c>
      <c r="K4" s="55" t="str">
        <f>TEXT(I4,"MMMM")</f>
        <v>March</v>
      </c>
      <c r="L4" s="55" t="str">
        <f>TEXT(I4,"YYYY")</f>
        <v>2026</v>
      </c>
      <c r="M4" s="109">
        <f>DAY(I4)</f>
        <v>4</v>
      </c>
      <c r="N4" s="109">
        <f>MONTH(I4)</f>
        <v>3</v>
      </c>
      <c r="O4" s="109">
        <f>YEAR(I4)</f>
        <v>2026</v>
      </c>
      <c r="R4" s="55">
        <v>46036</v>
      </c>
      <c r="S4" s="55">
        <v>46145</v>
      </c>
      <c r="T4" s="55">
        <v>46037</v>
      </c>
      <c r="U4" s="88">
        <f>_xlfn.DAYS(S4,R4)</f>
        <v>109</v>
      </c>
      <c r="V4" s="88">
        <f>DAYS360(R4,S4)</f>
        <v>109</v>
      </c>
      <c r="W4" s="88">
        <f>NETWORKDAYS(R4,S4)</f>
        <v>78</v>
      </c>
      <c r="X4" s="88">
        <f>NETWORKDAYS(R4,S4,$T$4:$T$10)</f>
        <v>71</v>
      </c>
      <c r="Y4" s="88">
        <f>NETWORKDAYS.INTL(R4,S4,11)</f>
        <v>94</v>
      </c>
      <c r="Z4" s="88">
        <f>NETWORKDAYS.INTL(R4,S4,11,$T$4:$T$10)</f>
        <v>87</v>
      </c>
      <c r="AB4" s="83"/>
      <c r="AD4" s="55">
        <v>46036</v>
      </c>
      <c r="AE4" s="88">
        <v>2</v>
      </c>
      <c r="AF4" s="55">
        <f>EDATE(AD4,AE4)</f>
        <v>46095</v>
      </c>
      <c r="AG4" s="55">
        <f>EOMONTH(AD4,AE4)</f>
        <v>46112</v>
      </c>
      <c r="AI4" s="55">
        <v>46036</v>
      </c>
      <c r="AJ4" s="55">
        <v>46037</v>
      </c>
      <c r="AK4" s="88">
        <v>30</v>
      </c>
      <c r="AL4" s="55">
        <f>WORKDAY(AI4,AK4)</f>
        <v>46078</v>
      </c>
      <c r="AM4" s="55">
        <f>WORKDAY(AI4,AK4,$AJ$4:$AJ$10)</f>
        <v>46084</v>
      </c>
      <c r="AN4" s="55">
        <f>WORKDAY.INTL(AI4,AK4,12)</f>
        <v>46071</v>
      </c>
      <c r="AO4" s="55">
        <f>WORKDAY.INTL(AI4,AK4,12,$AJ$4:$AJ$10)</f>
        <v>46073</v>
      </c>
      <c r="AR4" s="55">
        <v>46036</v>
      </c>
      <c r="AS4" s="55">
        <v>46145</v>
      </c>
      <c r="AT4" s="88">
        <f>DATEDIF(AR4,AS4,"D")</f>
        <v>109</v>
      </c>
      <c r="AU4" s="88">
        <f>DATEDIF(AR4,AS4,"M")</f>
        <v>3</v>
      </c>
      <c r="AV4" s="88">
        <f>DATEDIF(AR4,AS4,"Y")</f>
        <v>0</v>
      </c>
      <c r="AW4" s="88">
        <f>DATEDIF(AR4,AS4,"YD")</f>
        <v>109</v>
      </c>
      <c r="AX4" s="88">
        <f>DATEDIF(AR4,AS4,"MD")</f>
        <v>19</v>
      </c>
      <c r="AY4" s="88">
        <f>DATEDIF(AR4,AS4,"YM")</f>
        <v>3</v>
      </c>
      <c r="BJ4" s="55" t="s">
        <v>415</v>
      </c>
      <c r="BK4" s="89">
        <v>0.38593749999999999</v>
      </c>
      <c r="BL4" s="90">
        <f>HOUR(BK4)</f>
        <v>9</v>
      </c>
      <c r="BM4" s="111">
        <f>MINUTE(BK4)</f>
        <v>15</v>
      </c>
      <c r="BN4" s="111">
        <f>SECOND(BK4)</f>
        <v>45</v>
      </c>
    </row>
    <row r="5" spans="1:66" ht="21">
      <c r="A5" s="77" t="s">
        <v>396</v>
      </c>
      <c r="I5" s="55">
        <v>46135</v>
      </c>
      <c r="J5" s="55" t="str">
        <f t="shared" ref="J5:J10" si="0">TEXT(I5,"DDDD")</f>
        <v>Thursday</v>
      </c>
      <c r="K5" s="55" t="str">
        <f t="shared" ref="K5:K10" si="1">TEXT(I5,"MMMM")</f>
        <v>April</v>
      </c>
      <c r="L5" s="55" t="str">
        <f t="shared" ref="L5:L10" si="2">TEXT(I5,"YYYY")</f>
        <v>2026</v>
      </c>
      <c r="M5" s="109">
        <f t="shared" ref="M5:M10" si="3">DAY(I5)</f>
        <v>23</v>
      </c>
      <c r="N5" s="109">
        <f t="shared" ref="N5:N10" si="4">MONTH(I5)</f>
        <v>4</v>
      </c>
      <c r="O5" s="109">
        <f t="shared" ref="O5:O10" si="5">YEAR(I5)</f>
        <v>2026</v>
      </c>
      <c r="R5" s="55">
        <v>46045</v>
      </c>
      <c r="S5" s="55">
        <v>46220</v>
      </c>
      <c r="T5" s="55">
        <v>46064</v>
      </c>
      <c r="U5" s="88">
        <f t="shared" ref="U5:U10" si="6">_xlfn.DAYS(S5,R5)</f>
        <v>175</v>
      </c>
      <c r="V5" s="88">
        <f t="shared" ref="V5:V10" si="7">DAYS360(R5,S5)</f>
        <v>174</v>
      </c>
      <c r="W5" s="88">
        <f t="shared" ref="W5:W10" si="8">NETWORKDAYS(R5,S5)</f>
        <v>126</v>
      </c>
      <c r="X5" s="88">
        <f t="shared" ref="X5:X10" si="9">NETWORKDAYS(R5,S5,$T$4:$T$10)</f>
        <v>120</v>
      </c>
      <c r="Y5" s="88">
        <f t="shared" ref="Y5:Y10" si="10">NETWORKDAYS.INTL(R5,S5,11)</f>
        <v>151</v>
      </c>
      <c r="Z5" s="88">
        <f t="shared" ref="Z5:Z10" si="11">NETWORKDAYS.INTL(R5,S5,11,$T$4:$T$10)</f>
        <v>145</v>
      </c>
      <c r="AB5" s="110"/>
      <c r="AD5" s="55">
        <v>46045</v>
      </c>
      <c r="AE5" s="88">
        <v>-2</v>
      </c>
      <c r="AF5" s="55">
        <f t="shared" ref="AF5:AF10" si="12">EDATE(AD5,AE5)</f>
        <v>45984</v>
      </c>
      <c r="AG5" s="55">
        <f t="shared" ref="AG5:AG10" si="13">EOMONTH(AD5,AE5)</f>
        <v>45991</v>
      </c>
      <c r="AI5" s="55">
        <v>46045</v>
      </c>
      <c r="AJ5" s="55">
        <v>46064</v>
      </c>
      <c r="AK5" s="88">
        <v>40</v>
      </c>
      <c r="AL5" s="55">
        <f t="shared" ref="AL5:AL10" si="14">WORKDAY(AI5,AK5)</f>
        <v>46101</v>
      </c>
      <c r="AM5" s="55">
        <f t="shared" ref="AM5:AM10" si="15">WORKDAY(AI5,AK5,$AJ$4:$AJ$10)</f>
        <v>46108</v>
      </c>
      <c r="AN5" s="55">
        <f t="shared" ref="AN5:AN10" si="16">WORKDAY.INTL(AI5,AK5,12)</f>
        <v>46092</v>
      </c>
      <c r="AO5" s="55">
        <f t="shared" ref="AO5:AO10" si="17">WORKDAY.INTL(AI5,AK5,12,$AJ$4:$AJ$10)</f>
        <v>46095</v>
      </c>
      <c r="AR5" s="55">
        <v>46045</v>
      </c>
      <c r="AS5" s="55">
        <v>46585</v>
      </c>
      <c r="AT5" s="88">
        <f t="shared" ref="AT5:AT8" si="18">DATEDIF(AR5,AS5,"D")</f>
        <v>540</v>
      </c>
      <c r="AU5" s="88">
        <f t="shared" ref="AU5:AU8" si="19">DATEDIF(AR5,AS5,"M")</f>
        <v>17</v>
      </c>
      <c r="AV5" s="88">
        <f t="shared" ref="AV5:AV8" si="20">DATEDIF(AR5,AS5,"Y")</f>
        <v>1</v>
      </c>
      <c r="AW5" s="88">
        <f t="shared" ref="AW5:AW8" si="21">DATEDIF(AR5,AS5,"YD")</f>
        <v>175</v>
      </c>
      <c r="AX5" s="88">
        <f t="shared" ref="AX5:AX8" si="22">DATEDIF(AR5,AS5,"MD")</f>
        <v>24</v>
      </c>
      <c r="AY5" s="88">
        <f t="shared" ref="AY5:AY8" si="23">DATEDIF(AR5,AS5,"YM")</f>
        <v>5</v>
      </c>
      <c r="BJ5" s="55" t="s">
        <v>416</v>
      </c>
      <c r="BK5" s="89">
        <v>0.5625</v>
      </c>
      <c r="BL5" s="90">
        <f t="shared" ref="BL5:BL6" si="24">HOUR(BK5)</f>
        <v>13</v>
      </c>
      <c r="BM5" s="111">
        <f t="shared" ref="BM5:BN6" si="25">MINUTE(BK5)</f>
        <v>30</v>
      </c>
      <c r="BN5" s="111">
        <f t="shared" ref="BN5:BN6" si="26">SECOND(BK5)</f>
        <v>0</v>
      </c>
    </row>
    <row r="6" spans="1:66" ht="21">
      <c r="A6" s="77" t="s">
        <v>408</v>
      </c>
      <c r="F6" s="2" t="s">
        <v>395</v>
      </c>
      <c r="I6" s="55">
        <v>46055</v>
      </c>
      <c r="J6" s="55" t="str">
        <f t="shared" si="0"/>
        <v>Monday</v>
      </c>
      <c r="K6" s="55" t="str">
        <f t="shared" si="1"/>
        <v>February</v>
      </c>
      <c r="L6" s="55" t="str">
        <f t="shared" si="2"/>
        <v>2026</v>
      </c>
      <c r="M6" s="109">
        <f t="shared" si="3"/>
        <v>2</v>
      </c>
      <c r="N6" s="109">
        <f t="shared" si="4"/>
        <v>2</v>
      </c>
      <c r="O6" s="109">
        <f t="shared" si="5"/>
        <v>2026</v>
      </c>
      <c r="R6" s="55">
        <v>46055</v>
      </c>
      <c r="S6" s="55">
        <v>46132</v>
      </c>
      <c r="T6" s="55">
        <v>46099</v>
      </c>
      <c r="U6" s="88">
        <f t="shared" si="6"/>
        <v>77</v>
      </c>
      <c r="V6" s="88">
        <f t="shared" si="7"/>
        <v>78</v>
      </c>
      <c r="W6" s="88">
        <f t="shared" si="8"/>
        <v>56</v>
      </c>
      <c r="X6" s="88">
        <f t="shared" si="9"/>
        <v>51</v>
      </c>
      <c r="Y6" s="88">
        <f t="shared" si="10"/>
        <v>67</v>
      </c>
      <c r="Z6" s="88">
        <f t="shared" si="11"/>
        <v>62</v>
      </c>
      <c r="AB6" s="110"/>
      <c r="AD6" s="55">
        <v>46055</v>
      </c>
      <c r="AE6" s="88">
        <v>3</v>
      </c>
      <c r="AF6" s="55">
        <f t="shared" si="12"/>
        <v>46144</v>
      </c>
      <c r="AG6" s="55">
        <f t="shared" si="13"/>
        <v>46173</v>
      </c>
      <c r="AI6" s="55">
        <v>46055</v>
      </c>
      <c r="AJ6" s="55">
        <v>46099</v>
      </c>
      <c r="AK6" s="88">
        <v>35</v>
      </c>
      <c r="AL6" s="55">
        <f t="shared" si="14"/>
        <v>46104</v>
      </c>
      <c r="AM6" s="55">
        <f t="shared" si="15"/>
        <v>46111</v>
      </c>
      <c r="AN6" s="55">
        <f t="shared" si="16"/>
        <v>46095</v>
      </c>
      <c r="AO6" s="55">
        <f t="shared" si="17"/>
        <v>46100</v>
      </c>
      <c r="AR6" s="55">
        <v>46055</v>
      </c>
      <c r="AS6" s="55">
        <v>46132</v>
      </c>
      <c r="AT6" s="88">
        <f t="shared" si="18"/>
        <v>77</v>
      </c>
      <c r="AU6" s="88">
        <f t="shared" si="19"/>
        <v>2</v>
      </c>
      <c r="AV6" s="88">
        <f t="shared" si="20"/>
        <v>0</v>
      </c>
      <c r="AW6" s="88">
        <f t="shared" si="21"/>
        <v>77</v>
      </c>
      <c r="AX6" s="88">
        <f t="shared" si="22"/>
        <v>18</v>
      </c>
      <c r="AY6" s="88">
        <f t="shared" si="23"/>
        <v>2</v>
      </c>
      <c r="BJ6" s="55" t="s">
        <v>417</v>
      </c>
      <c r="BK6" s="89">
        <v>0.73993055555555554</v>
      </c>
      <c r="BL6" s="90">
        <f t="shared" si="24"/>
        <v>17</v>
      </c>
      <c r="BM6" s="111">
        <f t="shared" si="25"/>
        <v>45</v>
      </c>
      <c r="BN6" s="111">
        <f t="shared" si="26"/>
        <v>30</v>
      </c>
    </row>
    <row r="7" spans="1:66" ht="21">
      <c r="A7" s="77" t="s">
        <v>386</v>
      </c>
      <c r="D7" s="73"/>
      <c r="E7" s="4" t="s">
        <v>391</v>
      </c>
      <c r="F7" s="4" t="s">
        <v>392</v>
      </c>
      <c r="I7" s="55">
        <v>46105</v>
      </c>
      <c r="J7" s="55" t="str">
        <f t="shared" si="0"/>
        <v>Tuesday</v>
      </c>
      <c r="K7" s="55" t="str">
        <f t="shared" si="1"/>
        <v>March</v>
      </c>
      <c r="L7" s="55" t="str">
        <f t="shared" si="2"/>
        <v>2026</v>
      </c>
      <c r="M7" s="109">
        <f t="shared" si="3"/>
        <v>24</v>
      </c>
      <c r="N7" s="109">
        <f t="shared" si="4"/>
        <v>3</v>
      </c>
      <c r="O7" s="109">
        <f t="shared" si="5"/>
        <v>2026</v>
      </c>
      <c r="R7" s="55">
        <v>46045</v>
      </c>
      <c r="S7" s="55">
        <v>46128</v>
      </c>
      <c r="T7" s="55">
        <v>46080</v>
      </c>
      <c r="U7" s="88">
        <f t="shared" si="6"/>
        <v>83</v>
      </c>
      <c r="V7" s="88">
        <f t="shared" si="7"/>
        <v>83</v>
      </c>
      <c r="W7" s="88">
        <f t="shared" si="8"/>
        <v>60</v>
      </c>
      <c r="X7" s="88">
        <f t="shared" si="9"/>
        <v>55</v>
      </c>
      <c r="Y7" s="88">
        <f t="shared" si="10"/>
        <v>72</v>
      </c>
      <c r="Z7" s="88">
        <f t="shared" si="11"/>
        <v>67</v>
      </c>
      <c r="AB7" s="110"/>
      <c r="AD7" s="55">
        <v>46045</v>
      </c>
      <c r="AE7" s="88">
        <v>4</v>
      </c>
      <c r="AF7" s="55">
        <f t="shared" si="12"/>
        <v>46165</v>
      </c>
      <c r="AG7" s="55">
        <f t="shared" si="13"/>
        <v>46173</v>
      </c>
      <c r="AI7" s="55">
        <v>46045</v>
      </c>
      <c r="AJ7" s="55">
        <v>46080</v>
      </c>
      <c r="AK7" s="88">
        <v>33</v>
      </c>
      <c r="AL7" s="55">
        <f t="shared" si="14"/>
        <v>46092</v>
      </c>
      <c r="AM7" s="55">
        <f t="shared" si="15"/>
        <v>46098</v>
      </c>
      <c r="AN7" s="55">
        <f t="shared" si="16"/>
        <v>46084</v>
      </c>
      <c r="AO7" s="55">
        <f t="shared" si="17"/>
        <v>46086</v>
      </c>
      <c r="AR7" s="55">
        <v>46045</v>
      </c>
      <c r="AS7" s="55">
        <v>46128</v>
      </c>
      <c r="AT7" s="88">
        <f t="shared" si="18"/>
        <v>83</v>
      </c>
      <c r="AU7" s="88">
        <f t="shared" si="19"/>
        <v>2</v>
      </c>
      <c r="AV7" s="88">
        <f t="shared" si="20"/>
        <v>0</v>
      </c>
      <c r="AW7" s="88">
        <f t="shared" si="21"/>
        <v>83</v>
      </c>
      <c r="AX7" s="88">
        <f t="shared" si="22"/>
        <v>24</v>
      </c>
      <c r="AY7" s="88">
        <f t="shared" si="23"/>
        <v>2</v>
      </c>
    </row>
    <row r="8" spans="1:66" ht="21">
      <c r="A8" s="77" t="s">
        <v>400</v>
      </c>
      <c r="D8" s="2" t="s">
        <v>393</v>
      </c>
      <c r="E8" s="87">
        <f ca="1">NOW()</f>
        <v>46154.502716087962</v>
      </c>
      <c r="F8" s="108">
        <v>0.48541666666666666</v>
      </c>
      <c r="I8" s="55">
        <v>46045</v>
      </c>
      <c r="J8" s="55" t="str">
        <f t="shared" si="0"/>
        <v>Friday</v>
      </c>
      <c r="K8" s="55" t="str">
        <f t="shared" si="1"/>
        <v>January</v>
      </c>
      <c r="L8" s="55" t="str">
        <f t="shared" si="2"/>
        <v>2026</v>
      </c>
      <c r="M8" s="109">
        <f t="shared" si="3"/>
        <v>23</v>
      </c>
      <c r="N8" s="109">
        <f t="shared" si="4"/>
        <v>1</v>
      </c>
      <c r="O8" s="109">
        <f t="shared" si="5"/>
        <v>2026</v>
      </c>
      <c r="R8" s="55">
        <v>46045</v>
      </c>
      <c r="S8" s="55">
        <v>46120</v>
      </c>
      <c r="T8" s="55">
        <v>46083</v>
      </c>
      <c r="U8" s="88">
        <f t="shared" si="6"/>
        <v>75</v>
      </c>
      <c r="V8" s="88">
        <f t="shared" si="7"/>
        <v>75</v>
      </c>
      <c r="W8" s="88">
        <f t="shared" si="8"/>
        <v>54</v>
      </c>
      <c r="X8" s="88">
        <f t="shared" si="9"/>
        <v>49</v>
      </c>
      <c r="Y8" s="88">
        <f t="shared" si="10"/>
        <v>65</v>
      </c>
      <c r="Z8" s="88">
        <f t="shared" si="11"/>
        <v>60</v>
      </c>
      <c r="AB8" s="110"/>
      <c r="AD8" s="55">
        <v>46045</v>
      </c>
      <c r="AE8" s="88">
        <v>5</v>
      </c>
      <c r="AF8" s="55">
        <f t="shared" si="12"/>
        <v>46196</v>
      </c>
      <c r="AG8" s="55">
        <f t="shared" si="13"/>
        <v>46203</v>
      </c>
      <c r="AI8" s="55">
        <v>46045</v>
      </c>
      <c r="AJ8" s="55">
        <v>46083</v>
      </c>
      <c r="AK8" s="88">
        <v>45</v>
      </c>
      <c r="AL8" s="55">
        <f t="shared" si="14"/>
        <v>46108</v>
      </c>
      <c r="AM8" s="55">
        <f t="shared" si="15"/>
        <v>46115</v>
      </c>
      <c r="AN8" s="55">
        <f t="shared" si="16"/>
        <v>46098</v>
      </c>
      <c r="AO8" s="55">
        <f t="shared" si="17"/>
        <v>46102</v>
      </c>
      <c r="AR8" s="55">
        <v>46045</v>
      </c>
      <c r="AS8" s="55">
        <v>47216</v>
      </c>
      <c r="AT8" s="88">
        <f t="shared" si="18"/>
        <v>1171</v>
      </c>
      <c r="AU8" s="88">
        <f t="shared" si="19"/>
        <v>38</v>
      </c>
      <c r="AV8" s="88">
        <f t="shared" si="20"/>
        <v>3</v>
      </c>
      <c r="AW8" s="88">
        <f t="shared" si="21"/>
        <v>75</v>
      </c>
      <c r="AX8" s="88">
        <f t="shared" si="22"/>
        <v>16</v>
      </c>
      <c r="AY8" s="88">
        <f t="shared" si="23"/>
        <v>2</v>
      </c>
    </row>
    <row r="9" spans="1:66" ht="21">
      <c r="A9" s="77" t="s">
        <v>401</v>
      </c>
      <c r="I9" s="55">
        <v>46065</v>
      </c>
      <c r="J9" s="55" t="str">
        <f t="shared" si="0"/>
        <v>Thursday</v>
      </c>
      <c r="K9" s="55" t="str">
        <f t="shared" si="1"/>
        <v>February</v>
      </c>
      <c r="L9" s="55" t="str">
        <f t="shared" si="2"/>
        <v>2026</v>
      </c>
      <c r="M9" s="109">
        <f t="shared" si="3"/>
        <v>12</v>
      </c>
      <c r="N9" s="109">
        <f t="shared" si="4"/>
        <v>2</v>
      </c>
      <c r="O9" s="109">
        <f t="shared" si="5"/>
        <v>2026</v>
      </c>
      <c r="R9" s="55">
        <v>46065</v>
      </c>
      <c r="S9" s="55">
        <v>46118</v>
      </c>
      <c r="T9" s="55">
        <v>46093</v>
      </c>
      <c r="U9" s="88">
        <f t="shared" si="6"/>
        <v>53</v>
      </c>
      <c r="V9" s="88">
        <f t="shared" si="7"/>
        <v>54</v>
      </c>
      <c r="W9" s="88">
        <f t="shared" si="8"/>
        <v>38</v>
      </c>
      <c r="X9" s="88">
        <f t="shared" si="9"/>
        <v>34</v>
      </c>
      <c r="Y9" s="88">
        <f t="shared" si="10"/>
        <v>46</v>
      </c>
      <c r="Z9" s="88">
        <f t="shared" si="11"/>
        <v>42</v>
      </c>
      <c r="AB9" s="110"/>
      <c r="AD9" s="55">
        <v>46065</v>
      </c>
      <c r="AE9" s="88">
        <v>3</v>
      </c>
      <c r="AF9" s="55">
        <f t="shared" si="12"/>
        <v>46154</v>
      </c>
      <c r="AG9" s="55">
        <f t="shared" si="13"/>
        <v>46173</v>
      </c>
      <c r="AI9" s="55">
        <v>46065</v>
      </c>
      <c r="AJ9" s="55">
        <v>46093</v>
      </c>
      <c r="AK9" s="88">
        <v>55</v>
      </c>
      <c r="AL9" s="55">
        <f t="shared" si="14"/>
        <v>46142</v>
      </c>
      <c r="AM9" s="55">
        <f t="shared" si="15"/>
        <v>46149</v>
      </c>
      <c r="AN9" s="55">
        <f t="shared" si="16"/>
        <v>46129</v>
      </c>
      <c r="AO9" s="55">
        <f t="shared" si="17"/>
        <v>46133</v>
      </c>
    </row>
    <row r="10" spans="1:66" ht="21">
      <c r="A10" s="77" t="s">
        <v>402</v>
      </c>
      <c r="I10" s="55">
        <v>46125</v>
      </c>
      <c r="J10" s="55" t="str">
        <f t="shared" si="0"/>
        <v>Monday</v>
      </c>
      <c r="K10" s="55" t="str">
        <f t="shared" si="1"/>
        <v>April</v>
      </c>
      <c r="L10" s="55" t="str">
        <f t="shared" si="2"/>
        <v>2026</v>
      </c>
      <c r="M10" s="109">
        <f t="shared" si="3"/>
        <v>13</v>
      </c>
      <c r="N10" s="109">
        <f t="shared" si="4"/>
        <v>4</v>
      </c>
      <c r="O10" s="109">
        <f t="shared" si="5"/>
        <v>2026</v>
      </c>
      <c r="R10" s="55">
        <v>46125</v>
      </c>
      <c r="S10" s="55">
        <v>46165</v>
      </c>
      <c r="T10" s="55">
        <v>46135</v>
      </c>
      <c r="U10" s="88">
        <f t="shared" si="6"/>
        <v>40</v>
      </c>
      <c r="V10" s="88">
        <f t="shared" si="7"/>
        <v>40</v>
      </c>
      <c r="W10" s="88">
        <f t="shared" si="8"/>
        <v>30</v>
      </c>
      <c r="X10" s="88">
        <f t="shared" si="9"/>
        <v>29</v>
      </c>
      <c r="Y10" s="88">
        <f t="shared" si="10"/>
        <v>36</v>
      </c>
      <c r="Z10" s="88">
        <f t="shared" si="11"/>
        <v>35</v>
      </c>
      <c r="AB10" s="110"/>
      <c r="AD10" s="55">
        <v>46125</v>
      </c>
      <c r="AE10" s="88">
        <v>2</v>
      </c>
      <c r="AF10" s="55">
        <f t="shared" si="12"/>
        <v>46186</v>
      </c>
      <c r="AG10" s="55">
        <f t="shared" si="13"/>
        <v>46203</v>
      </c>
      <c r="AI10" s="55">
        <v>46125</v>
      </c>
      <c r="AJ10" s="55">
        <v>46135</v>
      </c>
      <c r="AK10" s="88">
        <v>60</v>
      </c>
      <c r="AL10" s="55">
        <f t="shared" si="14"/>
        <v>46209</v>
      </c>
      <c r="AM10" s="55">
        <f t="shared" si="15"/>
        <v>46210</v>
      </c>
      <c r="AN10" s="55">
        <f t="shared" si="16"/>
        <v>46194</v>
      </c>
      <c r="AO10" s="55">
        <f t="shared" si="17"/>
        <v>46196</v>
      </c>
    </row>
    <row r="11" spans="1:66" ht="18">
      <c r="A11" s="77" t="s">
        <v>428</v>
      </c>
    </row>
    <row r="12" spans="1:66" ht="18">
      <c r="A12" s="77" t="s">
        <v>431</v>
      </c>
      <c r="AR12" s="56" t="s">
        <v>441</v>
      </c>
      <c r="AS12" s="56" t="s">
        <v>442</v>
      </c>
      <c r="AT12" s="56"/>
      <c r="AU12" s="56"/>
    </row>
    <row r="13" spans="1:66" ht="18">
      <c r="A13" s="77" t="s">
        <v>405</v>
      </c>
      <c r="AR13" s="56" t="s">
        <v>438</v>
      </c>
      <c r="AS13" s="56" t="s">
        <v>437</v>
      </c>
      <c r="AT13" s="56"/>
      <c r="AU13" s="56"/>
    </row>
    <row r="14" spans="1:66" ht="18">
      <c r="A14" s="77" t="s">
        <v>407</v>
      </c>
      <c r="AR14" s="56" t="s">
        <v>439</v>
      </c>
      <c r="AS14" s="56" t="s">
        <v>440</v>
      </c>
      <c r="AT14" s="56"/>
      <c r="AU14" s="56"/>
    </row>
    <row r="15" spans="1:66" ht="18">
      <c r="A15" s="77" t="s">
        <v>443</v>
      </c>
    </row>
    <row r="16" spans="1:66" ht="18">
      <c r="A16" s="77" t="s">
        <v>410</v>
      </c>
    </row>
    <row r="17" spans="1:1" ht="18">
      <c r="A17" s="77" t="s">
        <v>411</v>
      </c>
    </row>
    <row r="18" spans="1:1" ht="18">
      <c r="A18" s="77" t="s">
        <v>412</v>
      </c>
    </row>
  </sheetData>
  <mergeCells count="1">
    <mergeCell ref="J2:L2"/>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75E53-84F2-46DB-8C6E-ABCC9A300181}">
  <dimension ref="B1:G11"/>
  <sheetViews>
    <sheetView workbookViewId="0">
      <selection activeCell="D2" sqref="D2"/>
    </sheetView>
  </sheetViews>
  <sheetFormatPr defaultRowHeight="14.4"/>
  <cols>
    <col min="2" max="2" width="17.109375" bestFit="1" customWidth="1"/>
    <col min="3" max="3" width="16.88671875" bestFit="1" customWidth="1"/>
    <col min="4" max="4" width="16.44140625" bestFit="1" customWidth="1"/>
    <col min="5" max="5" width="9.77734375" bestFit="1" customWidth="1"/>
    <col min="6" max="6" width="16.6640625" bestFit="1" customWidth="1"/>
    <col min="7" max="7" width="12.21875" bestFit="1" customWidth="1"/>
  </cols>
  <sheetData>
    <row r="1" spans="2:7" ht="21">
      <c r="B1" s="52" t="s">
        <v>201</v>
      </c>
      <c r="C1" s="52" t="s">
        <v>34</v>
      </c>
      <c r="D1" s="52" t="s">
        <v>124</v>
      </c>
      <c r="E1" s="52" t="s">
        <v>126</v>
      </c>
      <c r="F1" s="52" t="s">
        <v>127</v>
      </c>
      <c r="G1" s="52" t="s">
        <v>202</v>
      </c>
    </row>
    <row r="2" spans="2:7" ht="21">
      <c r="B2" s="53">
        <v>101</v>
      </c>
      <c r="C2" s="53" t="s">
        <v>203</v>
      </c>
      <c r="D2" s="53" t="s">
        <v>131</v>
      </c>
      <c r="E2" s="54">
        <v>45000</v>
      </c>
      <c r="F2" s="55">
        <v>46045</v>
      </c>
      <c r="G2" s="53" t="s">
        <v>204</v>
      </c>
    </row>
    <row r="3" spans="2:7" ht="21">
      <c r="B3" s="53">
        <v>102</v>
      </c>
      <c r="C3" s="53" t="s">
        <v>205</v>
      </c>
      <c r="D3" s="53" t="s">
        <v>134</v>
      </c>
      <c r="E3" s="54">
        <v>55000</v>
      </c>
      <c r="F3" s="55">
        <v>46055</v>
      </c>
      <c r="G3" s="53" t="s">
        <v>204</v>
      </c>
    </row>
    <row r="4" spans="2:7" ht="21">
      <c r="B4" s="53">
        <v>103</v>
      </c>
      <c r="C4" s="53" t="s">
        <v>206</v>
      </c>
      <c r="D4" s="53" t="s">
        <v>137</v>
      </c>
      <c r="E4" s="54">
        <v>70000</v>
      </c>
      <c r="F4" s="55">
        <v>46065</v>
      </c>
      <c r="G4" s="53" t="s">
        <v>207</v>
      </c>
    </row>
    <row r="5" spans="2:7" ht="21">
      <c r="B5" s="53">
        <v>104</v>
      </c>
      <c r="C5" s="53" t="s">
        <v>208</v>
      </c>
      <c r="D5" s="53" t="s">
        <v>209</v>
      </c>
      <c r="E5" s="54">
        <v>60000</v>
      </c>
      <c r="F5" s="55">
        <v>46075</v>
      </c>
      <c r="G5" s="53" t="s">
        <v>204</v>
      </c>
    </row>
    <row r="6" spans="2:7" ht="21">
      <c r="B6" s="53">
        <v>105</v>
      </c>
      <c r="C6" s="53" t="s">
        <v>210</v>
      </c>
      <c r="D6" s="53" t="s">
        <v>137</v>
      </c>
      <c r="E6" s="54">
        <v>80000</v>
      </c>
      <c r="F6" s="55">
        <v>46085</v>
      </c>
      <c r="G6" s="53" t="s">
        <v>204</v>
      </c>
    </row>
    <row r="7" spans="2:7" ht="21">
      <c r="B7" s="53">
        <v>106</v>
      </c>
      <c r="C7" s="53" t="s">
        <v>211</v>
      </c>
      <c r="D7" s="53" t="s">
        <v>134</v>
      </c>
      <c r="E7" s="54">
        <v>50000</v>
      </c>
      <c r="F7" s="55">
        <v>46095</v>
      </c>
      <c r="G7" s="53" t="s">
        <v>207</v>
      </c>
    </row>
    <row r="8" spans="2:7" ht="21">
      <c r="B8" s="53">
        <v>107</v>
      </c>
      <c r="C8" s="53" t="s">
        <v>212</v>
      </c>
      <c r="D8" s="53" t="s">
        <v>131</v>
      </c>
      <c r="E8" s="54">
        <v>47000</v>
      </c>
      <c r="F8" s="55">
        <v>46105</v>
      </c>
      <c r="G8" s="53" t="s">
        <v>204</v>
      </c>
    </row>
    <row r="9" spans="2:7" ht="21">
      <c r="B9" s="53">
        <v>108</v>
      </c>
      <c r="C9" s="53" t="s">
        <v>213</v>
      </c>
      <c r="D9" s="53" t="s">
        <v>209</v>
      </c>
      <c r="E9" s="54">
        <v>65000</v>
      </c>
      <c r="F9" s="55">
        <v>46115</v>
      </c>
      <c r="G9" s="53" t="s">
        <v>204</v>
      </c>
    </row>
    <row r="10" spans="2:7" ht="21">
      <c r="B10" s="53">
        <v>109</v>
      </c>
      <c r="C10" s="53" t="s">
        <v>214</v>
      </c>
      <c r="D10" s="53" t="s">
        <v>137</v>
      </c>
      <c r="E10" s="54">
        <v>90000</v>
      </c>
      <c r="F10" s="55">
        <v>46125</v>
      </c>
      <c r="G10" s="53" t="s">
        <v>204</v>
      </c>
    </row>
    <row r="11" spans="2:7" ht="21">
      <c r="B11" s="53">
        <v>110</v>
      </c>
      <c r="C11" s="53" t="s">
        <v>215</v>
      </c>
      <c r="D11" s="53" t="s">
        <v>134</v>
      </c>
      <c r="E11" s="54">
        <v>52000</v>
      </c>
      <c r="F11" s="55">
        <v>46135</v>
      </c>
      <c r="G11" s="53"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vt:i4>
      </vt:variant>
    </vt:vector>
  </HeadingPairs>
  <TitlesOfParts>
    <vt:vector size="20" baseType="lpstr">
      <vt:lpstr>Video-1</vt:lpstr>
      <vt:lpstr>Video-2</vt:lpstr>
      <vt:lpstr>Video-2 Topics</vt:lpstr>
      <vt:lpstr>Video-3</vt:lpstr>
      <vt:lpstr>Video-4</vt:lpstr>
      <vt:lpstr>Video-5</vt:lpstr>
      <vt:lpstr>Video-6</vt:lpstr>
      <vt:lpstr>Video-7</vt:lpstr>
      <vt:lpstr>Video-8</vt:lpstr>
      <vt:lpstr>Video-9</vt:lpstr>
      <vt:lpstr>Video-10</vt:lpstr>
      <vt:lpstr>Video-11</vt:lpstr>
      <vt:lpstr>Video-12</vt:lpstr>
      <vt:lpstr>Video-13</vt:lpstr>
      <vt:lpstr>Video-14</vt:lpstr>
      <vt:lpstr>Video-15</vt:lpstr>
      <vt:lpstr>Video-16</vt:lpstr>
      <vt:lpstr>Sheet5</vt:lpstr>
      <vt:lpstr>'Video-9'!Criteria</vt:lpstr>
      <vt:lpstr>'Video-9'!Extract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Kumar</dc:creator>
  <cp:lastModifiedBy>Amit Kumar</cp:lastModifiedBy>
  <dcterms:created xsi:type="dcterms:W3CDTF">2015-06-05T18:17:20Z</dcterms:created>
  <dcterms:modified xsi:type="dcterms:W3CDTF">2026-05-12T06:43:14Z</dcterms:modified>
</cp:coreProperties>
</file>