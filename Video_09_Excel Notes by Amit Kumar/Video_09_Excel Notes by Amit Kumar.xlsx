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slicers/slicer1.xml" ContentType="application/vnd.ms-excel.slicer+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822"/>
  <workbookPr/>
  <mc:AlternateContent xmlns:mc="http://schemas.openxmlformats.org/markup-compatibility/2006">
    <mc:Choice Requires="x15">
      <x15ac:absPath xmlns:x15ac="http://schemas.microsoft.com/office/spreadsheetml/2010/11/ac" url="D:\2.Excel Content\Video_09_Excel Notes by Amit Kumar\"/>
    </mc:Choice>
  </mc:AlternateContent>
  <xr:revisionPtr revIDLastSave="0" documentId="13_ncr:1_{821FFA27-4493-4C82-8EF8-A85E8CDE5870}" xr6:coauthVersionLast="47" xr6:coauthVersionMax="47" xr10:uidLastSave="{00000000-0000-0000-0000-000000000000}"/>
  <bookViews>
    <workbookView xWindow="-108" yWindow="-108" windowWidth="23256" windowHeight="12456" firstSheet="3" activeTab="9" xr2:uid="{00000000-000D-0000-FFFF-FFFF00000000}"/>
  </bookViews>
  <sheets>
    <sheet name="Video-1" sheetId="1" r:id="rId1"/>
    <sheet name="Video-2" sheetId="2" r:id="rId2"/>
    <sheet name="Video-2 Topics" sheetId="8" state="hidden" r:id="rId3"/>
    <sheet name="Video-3" sheetId="4" r:id="rId4"/>
    <sheet name="Video-4" sheetId="12" r:id="rId5"/>
    <sheet name="Video-5" sheetId="16" r:id="rId6"/>
    <sheet name="Video-6" sheetId="17" r:id="rId7"/>
    <sheet name="Video-7" sheetId="19" r:id="rId8"/>
    <sheet name="Video-8" sheetId="27" r:id="rId9"/>
    <sheet name="Video-9" sheetId="30" r:id="rId10"/>
  </sheets>
  <definedNames>
    <definedName name="_xlnm._FilterDatabase" localSheetId="9" hidden="1">'Video-9'!$C$1:$H$11</definedName>
    <definedName name="_xlnm.Criteria" localSheetId="9">'Video-9'!$C$14:$D$15</definedName>
    <definedName name="_xlnm.Extract" localSheetId="9">'Video-9'!$C$17:$H$17</definedName>
    <definedName name="Slicer_Department">#N/A</definedName>
    <definedName name="Slicer_Remarks">#N/A</definedName>
  </definedNames>
  <calcPr calcId="191029"/>
  <extLs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11"/>
        <x14:slicerCache r:id="rId12"/>
      </x15:slicerCache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2" i="27" l="1"/>
  <c r="F12" i="27"/>
  <c r="W4" i="12"/>
  <c r="W5" i="12"/>
  <c r="W6" i="12"/>
  <c r="W7" i="12"/>
  <c r="W3" i="12"/>
  <c r="R7" i="12"/>
  <c r="R6" i="12"/>
  <c r="R5" i="12"/>
  <c r="R4" i="12"/>
  <c r="R3" i="12"/>
  <c r="L4" i="12"/>
  <c r="L5" i="12"/>
  <c r="L6" i="12"/>
  <c r="L3" i="12"/>
  <c r="K4" i="12"/>
  <c r="K5" i="12"/>
  <c r="K6" i="12"/>
  <c r="F7" i="12"/>
  <c r="G7" i="12"/>
  <c r="E7" i="12"/>
  <c r="J4" i="12"/>
  <c r="J5" i="12"/>
  <c r="J6" i="12"/>
  <c r="J3" i="12"/>
  <c r="K3" i="12" s="1"/>
  <c r="I4" i="12"/>
  <c r="I5" i="12"/>
  <c r="I6" i="12"/>
  <c r="I3" i="12"/>
  <c r="H4" i="12"/>
  <c r="H5" i="12"/>
  <c r="H6" i="12"/>
  <c r="H3" i="12"/>
  <c r="D3" i="1" l="1"/>
</calcChain>
</file>

<file path=xl/sharedStrings.xml><?xml version="1.0" encoding="utf-8"?>
<sst xmlns="http://schemas.openxmlformats.org/spreadsheetml/2006/main" count="559" uniqueCount="234">
  <si>
    <t>Topics Covered in this Video</t>
  </si>
  <si>
    <t>How to open Excel Workbook</t>
  </si>
  <si>
    <t>Excel Interface</t>
  </si>
  <si>
    <t>Workbook Vs Worksheet</t>
  </si>
  <si>
    <t>Row, Columns &amp; Cells</t>
  </si>
  <si>
    <t>Save Vs Save As</t>
  </si>
  <si>
    <t>Navigation With ALT key</t>
  </si>
  <si>
    <t>Shortcut Keys in Excel : Mouse vs Keyboard</t>
  </si>
  <si>
    <t>Cell Movement</t>
  </si>
  <si>
    <t>Switch in workbooks</t>
  </si>
  <si>
    <t>Mouse</t>
  </si>
  <si>
    <t>Arrow keys</t>
  </si>
  <si>
    <t>CTRL+PAGEUP / CTRL+PAGEDOWN</t>
  </si>
  <si>
    <t>CTRL+TAB</t>
  </si>
  <si>
    <t>PAGEUP / PAGEDOWN</t>
  </si>
  <si>
    <t>Go inside a cell(to edit something)</t>
  </si>
  <si>
    <t>Double click / formula bar / F2</t>
  </si>
  <si>
    <t>Cell Movement while entering data</t>
  </si>
  <si>
    <t>TAB/ SHIFT+TAB / ENTER / SHIFT+ENTER</t>
  </si>
  <si>
    <t>other shortcuts we do as we cover remaining topics in coming videos</t>
  </si>
  <si>
    <t>Selection Related shortcuts</t>
  </si>
  <si>
    <t>Complete selections</t>
  </si>
  <si>
    <t>CTRL+A</t>
  </si>
  <si>
    <t>CTRL+SHIFT+Arrow key</t>
  </si>
  <si>
    <t>Select till data is present(no blank cell is present in between)</t>
  </si>
  <si>
    <t>Insert Column</t>
  </si>
  <si>
    <t>Insert Row</t>
  </si>
  <si>
    <t>Delete Row</t>
  </si>
  <si>
    <t>Delete Column</t>
  </si>
  <si>
    <t>Select limited data as per your choise</t>
  </si>
  <si>
    <t>SHIFT+Arrow Key</t>
  </si>
  <si>
    <t>SHIFT+SPACEBAR</t>
  </si>
  <si>
    <t>CTRL+SPACEBAR</t>
  </si>
  <si>
    <t>ID</t>
  </si>
  <si>
    <t>Name</t>
  </si>
  <si>
    <t>Designation</t>
  </si>
  <si>
    <t>SAL</t>
  </si>
  <si>
    <t>Loc</t>
  </si>
  <si>
    <t>Advance Associate</t>
  </si>
  <si>
    <t>GGN</t>
  </si>
  <si>
    <t>Annapurna Deori</t>
  </si>
  <si>
    <t>Associate</t>
  </si>
  <si>
    <t>Deepak Kumar</t>
  </si>
  <si>
    <t>Divya Dogra</t>
  </si>
  <si>
    <t>Tarun Verma</t>
  </si>
  <si>
    <t>Neelam Chauhan</t>
  </si>
  <si>
    <t>Sr. Associate</t>
  </si>
  <si>
    <t>Parijat Singal</t>
  </si>
  <si>
    <t>Shikha Maheshwari</t>
  </si>
  <si>
    <t>Delhi</t>
  </si>
  <si>
    <t>Rohan Kumar</t>
  </si>
  <si>
    <t>Manisha Madhu</t>
  </si>
  <si>
    <t>Abhishek Mathur</t>
  </si>
  <si>
    <t>Mohd. Shoaib Anwar</t>
  </si>
  <si>
    <t>Noida</t>
  </si>
  <si>
    <t>Kuljeet Singh</t>
  </si>
  <si>
    <t>Complete Excel Row</t>
  </si>
  <si>
    <t>Complete Excel Column</t>
  </si>
  <si>
    <t>Select Complete Row then CTRL +</t>
  </si>
  <si>
    <t>Select Complete Column then CTRL +</t>
  </si>
  <si>
    <t>Select Complete Row then CTRL -</t>
  </si>
  <si>
    <t>Select Complete Column then CTRL -</t>
  </si>
  <si>
    <t>id</t>
  </si>
  <si>
    <t>Sheet Movement(Moves the view one screen down /up)</t>
  </si>
  <si>
    <t>Note: No need to remember anything when you start using it you will be habitual of it</t>
  </si>
  <si>
    <t>Ajit Sherawat</t>
  </si>
  <si>
    <t>Keyboard Shortcut</t>
  </si>
  <si>
    <t>Topic</t>
  </si>
  <si>
    <t>• Understanding Alignment Group</t>
  </si>
  <si>
    <t>• Understanding Font Group</t>
  </si>
  <si>
    <t>Basic Data Entry</t>
  </si>
  <si>
    <t>• For Bold CTRL+B also works</t>
  </si>
  <si>
    <t>• For Italics CTRL+I also works</t>
  </si>
  <si>
    <t>• For Underline CTRL+U also works</t>
  </si>
  <si>
    <t>Insert Cells</t>
  </si>
  <si>
    <t>CTRL + then select option</t>
  </si>
  <si>
    <t>Fast movement in sheet(One sheet Down/Up)</t>
  </si>
  <si>
    <t>Name1123</t>
  </si>
  <si>
    <t>Sheet Movement(Moves the view one screen down/up)</t>
  </si>
  <si>
    <t>Shortcut Keys</t>
  </si>
  <si>
    <t>Data Formatting(data decoration)</t>
  </si>
  <si>
    <t>• Understanding Clipboard Group</t>
  </si>
  <si>
    <t xml:space="preserve">• Autofit Column Width </t>
  </si>
  <si>
    <t>ALT+H +O+A</t>
  </si>
  <si>
    <t>CTRL+Z / CTRL+Y</t>
  </si>
  <si>
    <t>Ajit Sehrawat</t>
  </si>
  <si>
    <t>• Data Delete/format delete/complete delete</t>
  </si>
  <si>
    <t>• Undo/Redo</t>
  </si>
  <si>
    <t>Note: Alt + O + C + A comes from the old Excel 2003-style menus, but still works in newer versions for backward compatibility.</t>
  </si>
  <si>
    <t>ALT+H +O+I</t>
  </si>
  <si>
    <t>ALT+O+C+A</t>
  </si>
  <si>
    <t>Understanding Basic Data Entry &amp; Data Formatting</t>
  </si>
  <si>
    <t>A</t>
  </si>
  <si>
    <t>Employee table</t>
  </si>
  <si>
    <t>Adjustments of cell, column, rows</t>
  </si>
  <si>
    <t>• Autofit Column Height</t>
  </si>
  <si>
    <t>Student Name</t>
  </si>
  <si>
    <t>Math</t>
  </si>
  <si>
    <t>Science</t>
  </si>
  <si>
    <t>English</t>
  </si>
  <si>
    <t>Rahul</t>
  </si>
  <si>
    <t>Priya</t>
  </si>
  <si>
    <t>Amit</t>
  </si>
  <si>
    <t>Neha</t>
  </si>
  <si>
    <t>Sum</t>
  </si>
  <si>
    <t>Item</t>
  </si>
  <si>
    <t>Quantity</t>
  </si>
  <si>
    <t>Price</t>
  </si>
  <si>
    <t>Apples</t>
  </si>
  <si>
    <t>Bananas</t>
  </si>
  <si>
    <t>Oranges</t>
  </si>
  <si>
    <t>Grapes</t>
  </si>
  <si>
    <t>Mangoes</t>
  </si>
  <si>
    <t>Mulitply</t>
  </si>
  <si>
    <t>Amount</t>
  </si>
  <si>
    <t>Qunatity</t>
  </si>
  <si>
    <t>Divide</t>
  </si>
  <si>
    <t>Sno.</t>
  </si>
  <si>
    <t>Basics Formulas: Sum, Subtract, Divide, Multiply</t>
  </si>
  <si>
    <t>Number Group in Home Tab</t>
  </si>
  <si>
    <t>subtract</t>
  </si>
  <si>
    <t>CTRL+R</t>
  </si>
  <si>
    <t>CTRL+D</t>
  </si>
  <si>
    <t>Employee</t>
  </si>
  <si>
    <t>Department</t>
  </si>
  <si>
    <t>Age</t>
  </si>
  <si>
    <t>Salary</t>
  </si>
  <si>
    <t>Joining Date</t>
  </si>
  <si>
    <t>Performance</t>
  </si>
  <si>
    <t>Remarks</t>
  </si>
  <si>
    <t>A001</t>
  </si>
  <si>
    <t>HR</t>
  </si>
  <si>
    <t>Good</t>
  </si>
  <si>
    <t>A002</t>
  </si>
  <si>
    <t>Finance</t>
  </si>
  <si>
    <t>Excellent</t>
  </si>
  <si>
    <t>A003</t>
  </si>
  <si>
    <t>IT</t>
  </si>
  <si>
    <t>Average</t>
  </si>
  <si>
    <t>A004</t>
  </si>
  <si>
    <t>Sales</t>
  </si>
  <si>
    <t>A005</t>
  </si>
  <si>
    <t>Needs Training</t>
  </si>
  <si>
    <t>A006</t>
  </si>
  <si>
    <t>A007</t>
  </si>
  <si>
    <t>A008</t>
  </si>
  <si>
    <t>Outstanding</t>
  </si>
  <si>
    <t>A009</t>
  </si>
  <si>
    <t>A010</t>
  </si>
  <si>
    <t>Format As Table</t>
  </si>
  <si>
    <t>Table Vs Normal Range</t>
  </si>
  <si>
    <t>Cell Styles</t>
  </si>
  <si>
    <t>Cells Group in Home Tab</t>
  </si>
  <si>
    <t>AutoSum</t>
  </si>
  <si>
    <t>Clear</t>
  </si>
  <si>
    <t>Fill &amp; Flash Fill</t>
  </si>
  <si>
    <t>A short paragraph is a focused group of three to</t>
  </si>
  <si>
    <t>eight sentences, typically under five sentences,</t>
  </si>
  <si>
    <t>that develops one single idea. It should be</t>
  </si>
  <si>
    <t>concise, well-organized, and often begins with a</t>
  </si>
  <si>
    <t>topic sentence to convey a clear message,</t>
  </si>
  <si>
    <t>making it ideal for bl</t>
  </si>
  <si>
    <t>Ajit</t>
  </si>
  <si>
    <t>Annapurna</t>
  </si>
  <si>
    <t>Deepak</t>
  </si>
  <si>
    <t>Divya</t>
  </si>
  <si>
    <t>Tarun</t>
  </si>
  <si>
    <t>Neelam</t>
  </si>
  <si>
    <t>Parijat</t>
  </si>
  <si>
    <t>Shikha</t>
  </si>
  <si>
    <t>Rohan</t>
  </si>
  <si>
    <t>Manisha</t>
  </si>
  <si>
    <t>Abhishek</t>
  </si>
  <si>
    <t>Mohd</t>
  </si>
  <si>
    <t>Kuljeet</t>
  </si>
  <si>
    <t>Sehrawat</t>
  </si>
  <si>
    <t>Deori</t>
  </si>
  <si>
    <t>Kumar</t>
  </si>
  <si>
    <t>Dogra</t>
  </si>
  <si>
    <t>Verma</t>
  </si>
  <si>
    <t>Chauhan</t>
  </si>
  <si>
    <t>Singal</t>
  </si>
  <si>
    <t>Maheshwari</t>
  </si>
  <si>
    <t>Madhu</t>
  </si>
  <si>
    <t>Mathur</t>
  </si>
  <si>
    <t>Anwar</t>
  </si>
  <si>
    <t>Singh</t>
  </si>
  <si>
    <t>AS</t>
  </si>
  <si>
    <t>AD</t>
  </si>
  <si>
    <t>NN</t>
  </si>
  <si>
    <t>DK</t>
  </si>
  <si>
    <t>DD</t>
  </si>
  <si>
    <t>TV</t>
  </si>
  <si>
    <t>NC</t>
  </si>
  <si>
    <t>PS</t>
  </si>
  <si>
    <t>SM</t>
  </si>
  <si>
    <t>RK</t>
  </si>
  <si>
    <t>MM</t>
  </si>
  <si>
    <t>AM</t>
  </si>
  <si>
    <t>MA</t>
  </si>
  <si>
    <t>KS</t>
  </si>
  <si>
    <t>Employee ID</t>
  </si>
  <si>
    <t>Status</t>
  </si>
  <si>
    <t>Rahul Verma</t>
  </si>
  <si>
    <t>Active</t>
  </si>
  <si>
    <t>Sneha Gupta</t>
  </si>
  <si>
    <t>Arjun Mehta</t>
  </si>
  <si>
    <t>Resigned</t>
  </si>
  <si>
    <t>Priya Nair</t>
  </si>
  <si>
    <t>Marketing</t>
  </si>
  <si>
    <t>Karan Singh</t>
  </si>
  <si>
    <t>Meera Joshi</t>
  </si>
  <si>
    <t>Anil Kumar</t>
  </si>
  <si>
    <t>Riya Shah</t>
  </si>
  <si>
    <t>Dev Patel</t>
  </si>
  <si>
    <t>Neha Rana</t>
  </si>
  <si>
    <t>🎯 How to Practice Filters</t>
  </si>
  <si>
    <r>
      <t>Text Filters</t>
    </r>
    <r>
      <rPr>
        <sz val="11"/>
        <color theme="1"/>
        <rFont val="Calibri"/>
        <family val="2"/>
        <scheme val="minor"/>
      </rPr>
      <t>: Filter by Department = "IT" or Status = "Resigned".</t>
    </r>
  </si>
  <si>
    <r>
      <t>Number Filters</t>
    </r>
    <r>
      <rPr>
        <sz val="11"/>
        <color theme="1"/>
        <rFont val="Calibri"/>
        <family val="2"/>
        <scheme val="minor"/>
      </rPr>
      <t>: Show employees with Salary &gt; 60,000.</t>
    </r>
  </si>
  <si>
    <r>
      <t>Custom Filters</t>
    </r>
    <r>
      <rPr>
        <sz val="11"/>
        <color theme="1"/>
        <rFont val="Calibri"/>
        <family val="2"/>
        <scheme val="minor"/>
      </rPr>
      <t>: Combine conditions (e.g., Department = "Finance" AND Salary &lt; 55,000).</t>
    </r>
  </si>
  <si>
    <r>
      <t>Top/Bottom Filters</t>
    </r>
    <r>
      <rPr>
        <sz val="11"/>
        <color theme="1"/>
        <rFont val="Calibri"/>
        <family val="2"/>
        <scheme val="minor"/>
      </rPr>
      <t>: Show Top 3 salaries or Bottom 3 salaries.</t>
    </r>
  </si>
  <si>
    <r>
      <t>Advanced Filter</t>
    </r>
    <r>
      <rPr>
        <sz val="11"/>
        <color theme="1"/>
        <rFont val="Calibri"/>
        <family val="2"/>
        <scheme val="minor"/>
      </rPr>
      <t>: Extract records into another sheet based on multiple criteria.</t>
    </r>
  </si>
  <si>
    <t>Best practices for clean datasets (no blank rows/columns).</t>
  </si>
  <si>
    <t>Common mistakes (e.g., hidden rows vs. filtered rows).</t>
  </si>
  <si>
    <t>Pro Tips</t>
  </si>
  <si>
    <t>Keyboard shortcuts for faster filtering.</t>
  </si>
  <si>
    <r>
      <t xml:space="preserve">Converting data into </t>
    </r>
    <r>
      <rPr>
        <b/>
        <sz val="11"/>
        <color theme="1"/>
        <rFont val="Calibri"/>
        <family val="2"/>
        <scheme val="minor"/>
      </rPr>
      <t>Excel Tables</t>
    </r>
    <r>
      <rPr>
        <sz val="11"/>
        <color theme="1"/>
        <rFont val="Calibri"/>
        <family val="2"/>
        <scheme val="minor"/>
      </rPr>
      <t xml:space="preserve"> for easier filter management.</t>
    </r>
  </si>
  <si>
    <t>Shortcut key(apply and remove): CTRL+SHIFT+L</t>
  </si>
  <si>
    <t>Color Filter</t>
  </si>
  <si>
    <t>Remove filter from Table Vs Specific Column</t>
  </si>
  <si>
    <t>Filter In Excel</t>
  </si>
  <si>
    <t>Text Filter, Number Filter and Date Filter</t>
  </si>
  <si>
    <r>
      <t>Date Filters</t>
    </r>
    <r>
      <rPr>
        <sz val="11"/>
        <color theme="1"/>
        <rFont val="Calibri"/>
        <family val="2"/>
        <scheme val="minor"/>
      </rPr>
      <t>: Filter Joining Date between 01-Jan-2026 and 31-Mar-2026.</t>
    </r>
  </si>
  <si>
    <t>&gt;75000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</si>
</sst>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3" formatCode="_ * #,##0.00_ ;_ * \-#,##0.00_ ;_ * &quot;-&quot;??_ ;_ @_ "/>
    <numFmt numFmtId="164" formatCode="&quot;₹&quot;\ #,##0.00"/>
    <numFmt numFmtId="165" formatCode="_-[$$-409]* #,##0.00_ ;_-[$$-409]* \-#,##0.00\ ;_-[$$-409]* &quot;-&quot;??_ ;_-@_ "/>
    <numFmt numFmtId="166" formatCode="_ * #,##0_ ;_ * \-#,##0_ ;_ * &quot;-&quot;??_ ;_ @_ "/>
    <numFmt numFmtId="167" formatCode="[$-14009]dddd\,\ d\ mmmm\,\ yyyy;@"/>
  </numFmts>
  <fonts count="13" x14ac:knownFonts="1">
    <font>
      <sz val="11"/>
      <color theme="1"/>
      <name val="Calibri"/>
      <family val="2"/>
      <scheme val="minor"/>
    </font>
    <font>
      <sz val="11"/>
      <color theme="1"/>
      <name val="Calibri"/>
      <family val="2"/>
      <scheme val="minor"/>
    </font>
    <font>
      <b/>
      <sz val="14"/>
      <color theme="1"/>
      <name val="Calibri"/>
      <family val="2"/>
      <scheme val="minor"/>
    </font>
    <font>
      <sz val="14"/>
      <color theme="1"/>
      <name val="Calibri"/>
      <family val="2"/>
      <scheme val="minor"/>
    </font>
    <font>
      <sz val="12"/>
      <color theme="1"/>
      <name val="Calibri"/>
      <family val="2"/>
      <scheme val="minor"/>
    </font>
    <font>
      <b/>
      <sz val="12"/>
      <color theme="1"/>
      <name val="Calibri"/>
      <family val="2"/>
      <scheme val="minor"/>
    </font>
    <font>
      <b/>
      <sz val="11"/>
      <color theme="1"/>
      <name val="Calibri"/>
      <family val="2"/>
      <scheme val="minor"/>
    </font>
    <font>
      <b/>
      <sz val="11"/>
      <color rgb="FFFF0000"/>
      <name val="Calibri"/>
      <family val="2"/>
      <scheme val="minor"/>
    </font>
    <font>
      <b/>
      <sz val="11"/>
      <color theme="0"/>
      <name val="Calibri"/>
      <family val="2"/>
      <scheme val="minor"/>
    </font>
    <font>
      <sz val="8"/>
      <name val="Calibri"/>
      <family val="2"/>
      <scheme val="minor"/>
    </font>
    <font>
      <sz val="10"/>
      <color rgb="FF0A0A0A"/>
      <name val="Arial"/>
      <family val="2"/>
    </font>
    <font>
      <b/>
      <sz val="16"/>
      <color theme="1"/>
      <name val="Calibri"/>
      <family val="2"/>
      <scheme val="minor"/>
    </font>
    <font>
      <sz val="16"/>
      <color theme="1"/>
      <name val="Calibri"/>
      <family val="2"/>
      <scheme val="minor"/>
    </font>
  </fonts>
  <fills count="14">
    <fill>
      <patternFill patternType="none"/>
    </fill>
    <fill>
      <patternFill patternType="gray125"/>
    </fill>
    <fill>
      <patternFill patternType="solid">
        <fgColor rgb="FFFFFF00"/>
        <bgColor indexed="64"/>
      </patternFill>
    </fill>
    <fill>
      <patternFill patternType="solid">
        <fgColor rgb="FF92D050"/>
        <bgColor indexed="64"/>
      </patternFill>
    </fill>
    <fill>
      <patternFill patternType="solid">
        <fgColor theme="3" tint="0.39997558519241921"/>
        <bgColor indexed="64"/>
      </patternFill>
    </fill>
    <fill>
      <patternFill patternType="solid">
        <fgColor theme="4" tint="0.59999389629810485"/>
        <bgColor indexed="64"/>
      </patternFill>
    </fill>
    <fill>
      <patternFill patternType="solid">
        <fgColor theme="4"/>
        <bgColor indexed="64"/>
      </patternFill>
    </fill>
    <fill>
      <patternFill patternType="solid">
        <fgColor rgb="FFFFC000"/>
        <bgColor indexed="64"/>
      </patternFill>
    </fill>
    <fill>
      <patternFill patternType="solid">
        <fgColor theme="4" tint="0.39997558519241921"/>
        <bgColor indexed="64"/>
      </patternFill>
    </fill>
    <fill>
      <patternFill patternType="solid">
        <fgColor theme="9"/>
        <bgColor indexed="64"/>
      </patternFill>
    </fill>
    <fill>
      <patternFill patternType="solid">
        <fgColor theme="1"/>
        <bgColor indexed="64"/>
      </patternFill>
    </fill>
    <fill>
      <patternFill patternType="solid">
        <fgColor theme="9" tint="0.59999389629810485"/>
        <bgColor theme="9" tint="0.59999389629810485"/>
      </patternFill>
    </fill>
    <fill>
      <patternFill patternType="solid">
        <fgColor theme="9" tint="0.79998168889431442"/>
        <bgColor theme="9" tint="0.79998168889431442"/>
      </patternFill>
    </fill>
    <fill>
      <patternFill patternType="solid">
        <fgColor theme="2" tint="-0.249977111117893"/>
        <bgColor indexed="64"/>
      </patternFill>
    </fill>
  </fills>
  <borders count="14">
    <border>
      <left/>
      <right/>
      <top/>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bottom/>
      <diagonal/>
    </border>
    <border>
      <left/>
      <right/>
      <top/>
      <bottom style="thin">
        <color indexed="64"/>
      </bottom>
      <diagonal/>
    </border>
    <border>
      <left style="thin">
        <color indexed="64"/>
      </left>
      <right style="thin">
        <color indexed="64"/>
      </right>
      <top/>
      <bottom/>
      <diagonal/>
    </border>
    <border>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s>
  <cellStyleXfs count="4">
    <xf numFmtId="0" fontId="0" fillId="0" borderId="0"/>
    <xf numFmtId="43" fontId="1" fillId="0" borderId="0" applyFont="0" applyFill="0" applyBorder="0" applyAlignment="0" applyProtection="0"/>
    <xf numFmtId="43" fontId="1" fillId="0" borderId="0" applyFont="0" applyFill="0" applyBorder="0" applyAlignment="0" applyProtection="0"/>
    <xf numFmtId="9" fontId="1" fillId="0" borderId="0" applyFont="0" applyFill="0" applyBorder="0" applyAlignment="0" applyProtection="0"/>
  </cellStyleXfs>
  <cellXfs count="70">
    <xf numFmtId="0" fontId="0" fillId="0" borderId="0" xfId="0"/>
    <xf numFmtId="0" fontId="3" fillId="0" borderId="1" xfId="0" applyFont="1" applyBorder="1"/>
    <xf numFmtId="0" fontId="3" fillId="0" borderId="1" xfId="0" applyFont="1" applyBorder="1" applyAlignment="1">
      <alignment horizontal="center"/>
    </xf>
    <xf numFmtId="0" fontId="3" fillId="2" borderId="1" xfId="0" applyFont="1" applyFill="1" applyBorder="1"/>
    <xf numFmtId="0" fontId="2" fillId="2" borderId="1" xfId="0" applyFont="1" applyFill="1" applyBorder="1" applyAlignment="1">
      <alignment horizontal="center"/>
    </xf>
    <xf numFmtId="0" fontId="0" fillId="0" borderId="0" xfId="0" applyAlignment="1">
      <alignment horizontal="center"/>
    </xf>
    <xf numFmtId="0" fontId="3" fillId="3" borderId="3" xfId="0" applyFont="1" applyFill="1" applyBorder="1" applyAlignment="1">
      <alignment horizontal="center"/>
    </xf>
    <xf numFmtId="0" fontId="3" fillId="3" borderId="2" xfId="0" applyFont="1" applyFill="1" applyBorder="1" applyAlignment="1">
      <alignment horizontal="center"/>
    </xf>
    <xf numFmtId="0" fontId="3" fillId="0" borderId="0" xfId="0" applyFont="1" applyAlignment="1">
      <alignment horizontal="center"/>
    </xf>
    <xf numFmtId="0" fontId="3" fillId="0" borderId="1" xfId="0" applyFont="1" applyBorder="1" applyAlignment="1">
      <alignment horizontal="left"/>
    </xf>
    <xf numFmtId="0" fontId="2" fillId="4" borderId="1" xfId="0" applyFont="1" applyFill="1" applyBorder="1" applyAlignment="1">
      <alignment horizontal="center"/>
    </xf>
    <xf numFmtId="0" fontId="4" fillId="0" borderId="0" xfId="0" applyFont="1" applyAlignment="1">
      <alignment horizontal="left"/>
    </xf>
    <xf numFmtId="0" fontId="3" fillId="3" borderId="4" xfId="0" applyFont="1" applyFill="1" applyBorder="1" applyAlignment="1">
      <alignment horizontal="center"/>
    </xf>
    <xf numFmtId="0" fontId="0" fillId="0" borderId="1" xfId="0" applyBorder="1" applyAlignment="1">
      <alignment horizontal="center"/>
    </xf>
    <xf numFmtId="0" fontId="4" fillId="0" borderId="1" xfId="0" applyFont="1" applyBorder="1" applyAlignment="1">
      <alignment horizontal="center"/>
    </xf>
    <xf numFmtId="0" fontId="5" fillId="2" borderId="1" xfId="0" applyFont="1" applyFill="1" applyBorder="1" applyAlignment="1">
      <alignment horizontal="center"/>
    </xf>
    <xf numFmtId="0" fontId="4" fillId="0" borderId="1" xfId="0" applyFont="1" applyBorder="1" applyAlignment="1">
      <alignment horizontal="left"/>
    </xf>
    <xf numFmtId="0" fontId="4" fillId="3" borderId="1" xfId="0" applyFont="1" applyFill="1" applyBorder="1" applyAlignment="1">
      <alignment horizontal="center"/>
    </xf>
    <xf numFmtId="0" fontId="7" fillId="5" borderId="1" xfId="0" applyFont="1" applyFill="1" applyBorder="1" applyAlignment="1">
      <alignment horizontal="center"/>
    </xf>
    <xf numFmtId="0" fontId="0" fillId="0" borderId="0" xfId="0" applyAlignment="1">
      <alignment horizontal="left" indent="1"/>
    </xf>
    <xf numFmtId="0" fontId="6" fillId="8" borderId="1" xfId="0" applyFont="1" applyFill="1" applyBorder="1" applyAlignment="1">
      <alignment horizontal="center"/>
    </xf>
    <xf numFmtId="0" fontId="6" fillId="7" borderId="1" xfId="0" applyFont="1" applyFill="1" applyBorder="1" applyAlignment="1">
      <alignment horizontal="center"/>
    </xf>
    <xf numFmtId="0" fontId="5" fillId="2" borderId="1" xfId="0" applyFont="1" applyFill="1" applyBorder="1" applyAlignment="1">
      <alignment horizontal="left"/>
    </xf>
    <xf numFmtId="0" fontId="0" fillId="0" borderId="0" xfId="0" applyAlignment="1">
      <alignment horizontal="left"/>
    </xf>
    <xf numFmtId="0" fontId="0" fillId="0" borderId="7" xfId="0" applyBorder="1" applyAlignment="1">
      <alignment horizontal="center"/>
    </xf>
    <xf numFmtId="0" fontId="6" fillId="7" borderId="7" xfId="0" applyFont="1" applyFill="1" applyBorder="1" applyAlignment="1">
      <alignment horizontal="center"/>
    </xf>
    <xf numFmtId="164" fontId="6" fillId="7" borderId="1" xfId="0" applyNumberFormat="1" applyFont="1" applyFill="1" applyBorder="1" applyAlignment="1">
      <alignment horizontal="center"/>
    </xf>
    <xf numFmtId="165" fontId="0" fillId="0" borderId="0" xfId="0" applyNumberFormat="1"/>
    <xf numFmtId="9" fontId="0" fillId="0" borderId="0" xfId="3" applyFont="1"/>
    <xf numFmtId="9" fontId="0" fillId="9" borderId="0" xfId="3" applyFont="1" applyFill="1"/>
    <xf numFmtId="166" fontId="0" fillId="0" borderId="0" xfId="2" applyNumberFormat="1" applyFont="1"/>
    <xf numFmtId="49" fontId="0" fillId="0" borderId="0" xfId="0" applyNumberFormat="1"/>
    <xf numFmtId="167" fontId="0" fillId="0" borderId="0" xfId="0" applyNumberFormat="1"/>
    <xf numFmtId="0" fontId="0" fillId="0" borderId="1" xfId="0" applyBorder="1" applyAlignment="1">
      <alignment horizontal="center" vertical="center"/>
    </xf>
    <xf numFmtId="15" fontId="0" fillId="0" borderId="1" xfId="0" applyNumberFormat="1" applyBorder="1" applyAlignment="1">
      <alignment horizontal="center" vertical="center"/>
    </xf>
    <xf numFmtId="0" fontId="6" fillId="2" borderId="1" xfId="0" applyFont="1" applyFill="1" applyBorder="1" applyAlignment="1">
      <alignment horizontal="center" vertical="center"/>
    </xf>
    <xf numFmtId="0" fontId="0" fillId="0" borderId="13" xfId="0" applyBorder="1" applyAlignment="1">
      <alignment horizontal="center" vertical="center"/>
    </xf>
    <xf numFmtId="0" fontId="0" fillId="0" borderId="11" xfId="0" applyBorder="1" applyAlignment="1">
      <alignment horizontal="center" vertical="center"/>
    </xf>
    <xf numFmtId="0" fontId="0" fillId="0" borderId="4" xfId="0" applyBorder="1" applyAlignment="1">
      <alignment horizontal="center" vertical="center"/>
    </xf>
    <xf numFmtId="0" fontId="0" fillId="0" borderId="3" xfId="0" applyBorder="1" applyAlignment="1">
      <alignment horizontal="center" vertical="center"/>
    </xf>
    <xf numFmtId="0" fontId="0" fillId="0" borderId="10" xfId="0" applyBorder="1" applyAlignment="1">
      <alignment horizontal="center" vertical="center"/>
    </xf>
    <xf numFmtId="15" fontId="0" fillId="0" borderId="13" xfId="0" applyNumberFormat="1" applyBorder="1" applyAlignment="1">
      <alignment horizontal="center" vertical="center"/>
    </xf>
    <xf numFmtId="0" fontId="6" fillId="10" borderId="8" xfId="0" applyFont="1" applyFill="1" applyBorder="1" applyAlignment="1">
      <alignment horizontal="center" vertical="center"/>
    </xf>
    <xf numFmtId="0" fontId="6" fillId="10" borderId="12" xfId="0" applyFont="1" applyFill="1" applyBorder="1" applyAlignment="1">
      <alignment horizontal="center" vertical="center"/>
    </xf>
    <xf numFmtId="0" fontId="6" fillId="10" borderId="9" xfId="0" applyFont="1" applyFill="1" applyBorder="1" applyAlignment="1">
      <alignment horizontal="center" vertical="center"/>
    </xf>
    <xf numFmtId="0" fontId="0" fillId="11" borderId="1" xfId="0" applyFill="1" applyBorder="1" applyAlignment="1">
      <alignment horizontal="center" vertical="center"/>
    </xf>
    <xf numFmtId="15" fontId="0" fillId="11" borderId="1" xfId="0" applyNumberFormat="1" applyFill="1" applyBorder="1" applyAlignment="1">
      <alignment horizontal="center" vertical="center"/>
    </xf>
    <xf numFmtId="0" fontId="0" fillId="12" borderId="1" xfId="0" applyFill="1" applyBorder="1" applyAlignment="1">
      <alignment horizontal="center" vertical="center"/>
    </xf>
    <xf numFmtId="15" fontId="0" fillId="12" borderId="1" xfId="0" applyNumberFormat="1" applyFill="1" applyBorder="1" applyAlignment="1">
      <alignment horizontal="center" vertical="center"/>
    </xf>
    <xf numFmtId="0" fontId="8" fillId="10" borderId="1" xfId="0" applyFont="1" applyFill="1" applyBorder="1" applyAlignment="1">
      <alignment horizontal="center" vertical="center"/>
    </xf>
    <xf numFmtId="0" fontId="10" fillId="0" borderId="0" xfId="0" applyFont="1"/>
    <xf numFmtId="0" fontId="3" fillId="13" borderId="1" xfId="0" applyFont="1" applyFill="1" applyBorder="1" applyAlignment="1">
      <alignment horizontal="left"/>
    </xf>
    <xf numFmtId="0" fontId="11" fillId="3" borderId="1" xfId="0" applyFont="1" applyFill="1" applyBorder="1" applyAlignment="1">
      <alignment horizontal="center" vertical="center"/>
    </xf>
    <xf numFmtId="0" fontId="12" fillId="0" borderId="1" xfId="0" applyFont="1" applyBorder="1" applyAlignment="1">
      <alignment horizontal="center" vertical="center"/>
    </xf>
    <xf numFmtId="3" fontId="12" fillId="0" borderId="1" xfId="0" applyNumberFormat="1" applyFont="1" applyBorder="1" applyAlignment="1">
      <alignment horizontal="center" vertical="center"/>
    </xf>
    <xf numFmtId="15" fontId="12" fillId="0" borderId="1" xfId="0" applyNumberFormat="1" applyFont="1" applyBorder="1" applyAlignment="1">
      <alignment horizontal="center" vertical="center"/>
    </xf>
    <xf numFmtId="0" fontId="0" fillId="0" borderId="1" xfId="0" applyBorder="1"/>
    <xf numFmtId="0" fontId="12" fillId="2" borderId="1" xfId="0" applyFont="1" applyFill="1" applyBorder="1" applyAlignment="1">
      <alignment horizontal="center" vertical="center"/>
    </xf>
    <xf numFmtId="0" fontId="2" fillId="2" borderId="1" xfId="0" applyFont="1" applyFill="1" applyBorder="1" applyAlignment="1">
      <alignment horizontal="center"/>
    </xf>
    <xf numFmtId="0" fontId="3" fillId="3" borderId="3" xfId="0" applyFont="1" applyFill="1" applyBorder="1" applyAlignment="1">
      <alignment horizontal="center"/>
    </xf>
    <xf numFmtId="0" fontId="3" fillId="3" borderId="2" xfId="0" applyFont="1" applyFill="1" applyBorder="1" applyAlignment="1">
      <alignment horizontal="center"/>
    </xf>
    <xf numFmtId="0" fontId="2" fillId="2" borderId="3" xfId="0" applyFont="1" applyFill="1" applyBorder="1" applyAlignment="1">
      <alignment horizontal="center"/>
    </xf>
    <xf numFmtId="0" fontId="2" fillId="2" borderId="2" xfId="0" applyFont="1" applyFill="1" applyBorder="1" applyAlignment="1">
      <alignment horizontal="center"/>
    </xf>
    <xf numFmtId="0" fontId="2" fillId="2" borderId="4" xfId="0" applyFont="1" applyFill="1" applyBorder="1" applyAlignment="1">
      <alignment horizontal="center"/>
    </xf>
    <xf numFmtId="0" fontId="5" fillId="3" borderId="3" xfId="0" applyFont="1" applyFill="1" applyBorder="1" applyAlignment="1">
      <alignment horizontal="center"/>
    </xf>
    <xf numFmtId="0" fontId="5" fillId="3" borderId="2" xfId="0" applyFont="1" applyFill="1" applyBorder="1" applyAlignment="1">
      <alignment horizontal="center"/>
    </xf>
    <xf numFmtId="0" fontId="5" fillId="3" borderId="4" xfId="0" applyFont="1" applyFill="1" applyBorder="1" applyAlignment="1">
      <alignment horizontal="center"/>
    </xf>
    <xf numFmtId="0" fontId="0" fillId="0" borderId="5" xfId="0" applyBorder="1" applyAlignment="1">
      <alignment horizontal="center" vertical="center" textRotation="90"/>
    </xf>
    <xf numFmtId="0" fontId="0" fillId="6" borderId="6" xfId="0" applyFill="1" applyBorder="1" applyAlignment="1">
      <alignment horizontal="center"/>
    </xf>
    <xf numFmtId="0" fontId="6" fillId="9" borderId="6" xfId="0" applyFont="1" applyFill="1" applyBorder="1" applyAlignment="1">
      <alignment horizontal="center"/>
    </xf>
  </cellXfs>
  <cellStyles count="4">
    <cellStyle name="Comma" xfId="2" builtinId="3"/>
    <cellStyle name="Comma 2" xfId="1" xr:uid="{C4252FE2-5F95-42B4-B35E-A0B3140ED354}"/>
    <cellStyle name="Normal" xfId="0" builtinId="0"/>
    <cellStyle name="Percent" xfId="3" builtinId="5"/>
  </cellStyles>
  <dxfs count="13">
    <dxf>
      <font>
        <color rgb="FF9C0006"/>
      </font>
      <fill>
        <patternFill>
          <bgColor rgb="FFFFC7CE"/>
        </patternFill>
      </fill>
    </dxf>
    <dxf>
      <alignment horizontal="center" vertical="center" textRotation="0" wrapText="0" indent="0" justifyLastLine="0" shrinkToFit="0" readingOrder="0"/>
      <border diagonalUp="0" diagonalDown="0">
        <left style="thin">
          <color indexed="64"/>
        </left>
        <right/>
        <top style="thin">
          <color indexed="64"/>
        </top>
        <bottom style="thin">
          <color indexed="64"/>
        </bottom>
        <vertical/>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20" formatCode="dd/mmm/yy"/>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0" indent="0" justifyLastLine="0" shrinkToFit="0" readingOrder="0"/>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alignment horizontal="center" vertical="center" textRotation="0" wrapText="0" indent="0" justifyLastLine="0" shrinkToFit="0" readingOrder="0"/>
    </dxf>
    <dxf>
      <border outline="0">
        <bottom style="thin">
          <color indexed="64"/>
        </bottom>
      </border>
    </dxf>
    <dxf>
      <font>
        <b/>
        <i val="0"/>
        <strike val="0"/>
        <condense val="0"/>
        <extend val="0"/>
        <outline val="0"/>
        <shadow val="0"/>
        <u val="none"/>
        <vertAlign val="baseline"/>
        <sz val="11"/>
        <color theme="1"/>
        <name val="Calibri"/>
        <family val="2"/>
        <scheme val="minor"/>
      </font>
      <fill>
        <patternFill patternType="solid">
          <fgColor indexed="64"/>
          <bgColor theme="1"/>
        </patternFill>
      </fill>
      <alignment horizontal="center" vertical="center" textRotation="0" wrapText="0" indent="0" justifyLastLine="0" shrinkToFit="0" readingOrder="0"/>
      <border diagonalUp="0" diagonalDown="0" outline="0">
        <left style="thin">
          <color indexed="64"/>
        </left>
        <right style="thin">
          <color indexed="64"/>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2.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drawings/drawing1.xml><?xml version="1.0" encoding="utf-8"?>
<xdr:wsDr xmlns:xdr="http://schemas.openxmlformats.org/drawingml/2006/spreadsheetDrawing" xmlns:a="http://schemas.openxmlformats.org/drawingml/2006/main">
  <xdr:twoCellAnchor editAs="absolute">
    <xdr:from>
      <xdr:col>2</xdr:col>
      <xdr:colOff>547647</xdr:colOff>
      <xdr:row>0</xdr:row>
      <xdr:rowOff>1</xdr:rowOff>
    </xdr:from>
    <xdr:to>
      <xdr:col>7</xdr:col>
      <xdr:colOff>569843</xdr:colOff>
      <xdr:row>4</xdr:row>
      <xdr:rowOff>106019</xdr:rowOff>
    </xdr:to>
    <mc:AlternateContent xmlns:mc="http://schemas.openxmlformats.org/markup-compatibility/2006" xmlns:sle15="http://schemas.microsoft.com/office/drawing/2012/slicer">
      <mc:Choice Requires="sle15">
        <xdr:graphicFrame macro="">
          <xdr:nvGraphicFramePr>
            <xdr:cNvPr id="4" name="Department">
              <a:extLst>
                <a:ext uri="{FF2B5EF4-FFF2-40B4-BE49-F238E27FC236}">
                  <a16:creationId xmlns:a16="http://schemas.microsoft.com/office/drawing/2014/main" id="{21CFCA57-E7FE-FF9A-ABAB-5B5587DCB187}"/>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mlns="">
        <xdr:sp macro="" textlink="">
          <xdr:nvSpPr>
            <xdr:cNvPr id="0" name=""/>
            <xdr:cNvSpPr>
              <a:spLocks noTextEdit="1"/>
            </xdr:cNvSpPr>
          </xdr:nvSpPr>
          <xdr:spPr>
            <a:xfrm>
              <a:off x="3019177" y="1"/>
              <a:ext cx="3156336" cy="901148"/>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7</xdr:col>
      <xdr:colOff>650018</xdr:colOff>
      <xdr:row>0</xdr:row>
      <xdr:rowOff>41414</xdr:rowOff>
    </xdr:from>
    <xdr:to>
      <xdr:col>11</xdr:col>
      <xdr:colOff>576469</xdr:colOff>
      <xdr:row>4</xdr:row>
      <xdr:rowOff>132522</xdr:rowOff>
    </xdr:to>
    <mc:AlternateContent xmlns:mc="http://schemas.openxmlformats.org/markup-compatibility/2006" xmlns:sle15="http://schemas.microsoft.com/office/drawing/2012/slicer">
      <mc:Choice Requires="sle15">
        <xdr:graphicFrame macro="">
          <xdr:nvGraphicFramePr>
            <xdr:cNvPr id="5" name="Remarks">
              <a:extLst>
                <a:ext uri="{FF2B5EF4-FFF2-40B4-BE49-F238E27FC236}">
                  <a16:creationId xmlns:a16="http://schemas.microsoft.com/office/drawing/2014/main" id="{EE1373DF-C38C-A3DD-29BA-834EC794AD03}"/>
                </a:ext>
              </a:extLst>
            </xdr:cNvPr>
            <xdr:cNvGraphicFramePr/>
          </xdr:nvGraphicFramePr>
          <xdr:xfrm>
            <a:off x="0" y="0"/>
            <a:ext cx="0" cy="0"/>
          </xdr:xfrm>
          <a:graphic>
            <a:graphicData uri="http://schemas.microsoft.com/office/drawing/2010/slicer">
              <sle:slicer xmlns:sle="http://schemas.microsoft.com/office/drawing/2010/slicer" name="Remarks"/>
            </a:graphicData>
          </a:graphic>
        </xdr:graphicFrame>
      </mc:Choice>
      <mc:Fallback xmlns="">
        <xdr:sp macro="" textlink="">
          <xdr:nvSpPr>
            <xdr:cNvPr id="0" name=""/>
            <xdr:cNvSpPr>
              <a:spLocks noTextEdit="1"/>
            </xdr:cNvSpPr>
          </xdr:nvSpPr>
          <xdr:spPr>
            <a:xfrm>
              <a:off x="6255688" y="41414"/>
              <a:ext cx="3226242" cy="886238"/>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wsDr>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0835BC88-A2AD-44A4-81B6-9EF997129A5B}" sourceName="Department">
  <extLst>
    <x:ext xmlns:x15="http://schemas.microsoft.com/office/spreadsheetml/2010/11/main" uri="{2F2917AC-EB37-4324-AD4E-5DD8C200BD13}">
      <x15:tableSlicerCache tableId="6" column="2"/>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marks" xr10:uid="{230AF8F2-B57A-40D2-A1B4-81CBF553985D}" sourceName="Remarks">
  <extLst>
    <x:ext xmlns:x15="http://schemas.microsoft.com/office/spreadsheetml/2010/11/main" uri="{2F2917AC-EB37-4324-AD4E-5DD8C200BD13}">
      <x15:tableSlicerCache tableId="6" column="7"/>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xr10:uid="{EE6C0EB0-D206-43F4-93DE-2FA5F64056FE}" cache="Slicer_Department" caption="Department" columnCount="4" rowHeight="234950"/>
  <slicer name="Remarks" xr10:uid="{AE672EB3-7D48-40ED-8F03-AABBD092CB2A}" cache="Slicer_Remarks" caption="Remarks" columnCount="3"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7585EF9A-A081-442F-9D7E-391CE2AA89EE}" name="EmpTable" displayName="EmpTable" ref="D6:J16" totalsRowShown="0" headerRowDxfId="12" dataDxfId="10" headerRowBorderDxfId="11" tableBorderDxfId="9" totalsRowBorderDxfId="8">
  <autoFilter ref="D6:J16" xr:uid="{7585EF9A-A081-442F-9D7E-391CE2AA89EE}"/>
  <tableColumns count="7">
    <tableColumn id="1" xr3:uid="{3E0891FE-10D9-4390-B691-1057E25F7872}" name="Employee" dataDxfId="7"/>
    <tableColumn id="2" xr3:uid="{94236A3C-9817-4758-A2A3-26CD289D6B9D}" name="Department" dataDxfId="6"/>
    <tableColumn id="3" xr3:uid="{8A4BDA03-3E94-4992-BAF9-9D5032F90A93}" name="Age" dataDxfId="5"/>
    <tableColumn id="4" xr3:uid="{DC79832D-9AC0-4393-9345-2DA85F998BBA}" name="Salary" dataDxfId="4"/>
    <tableColumn id="5" xr3:uid="{8134716A-EED6-4520-8BA8-C39AA08BA409}" name="Joining Date" dataDxfId="3"/>
    <tableColumn id="6" xr3:uid="{43D101F8-6B00-4F3F-AA10-464F7162C34E}" name="Performance" dataDxfId="2"/>
    <tableColumn id="7" xr3:uid="{A8F3E343-EE41-4017-9B60-94BB72A38372}" name="Remarks" dataDxfId="1"/>
  </tableColumns>
  <tableStyleInfo name="TableStyleMedium14"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table" Target="../tables/table1.xml"/><Relationship Id="rId1" Type="http://schemas.openxmlformats.org/officeDocument/2006/relationships/drawing" Target="../drawings/drawing1.xml"/></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7"/>
  <sheetViews>
    <sheetView zoomScaleNormal="100" zoomScalePageLayoutView="55" workbookViewId="0">
      <selection activeCell="B8" sqref="B8"/>
    </sheetView>
  </sheetViews>
  <sheetFormatPr defaultRowHeight="14.4" x14ac:dyDescent="0.3"/>
  <cols>
    <col min="2" max="2" width="67.88671875" bestFit="1" customWidth="1"/>
  </cols>
  <sheetData>
    <row r="1" spans="1:4" ht="18" x14ac:dyDescent="0.35">
      <c r="A1" s="58" t="s">
        <v>0</v>
      </c>
      <c r="B1" s="58"/>
    </row>
    <row r="2" spans="1:4" ht="18" x14ac:dyDescent="0.35">
      <c r="A2" s="2">
        <v>1</v>
      </c>
      <c r="B2" s="1" t="s">
        <v>1</v>
      </c>
    </row>
    <row r="3" spans="1:4" ht="18" x14ac:dyDescent="0.35">
      <c r="A3" s="2">
        <v>2</v>
      </c>
      <c r="B3" s="1" t="s">
        <v>2</v>
      </c>
      <c r="D3">
        <f>1+2</f>
        <v>3</v>
      </c>
    </row>
    <row r="4" spans="1:4" ht="18" x14ac:dyDescent="0.35">
      <c r="A4" s="2">
        <v>3</v>
      </c>
      <c r="B4" s="1" t="s">
        <v>3</v>
      </c>
    </row>
    <row r="5" spans="1:4" ht="18" x14ac:dyDescent="0.35">
      <c r="A5" s="2">
        <v>4</v>
      </c>
      <c r="B5" s="1" t="s">
        <v>4</v>
      </c>
    </row>
    <row r="6" spans="1:4" ht="18" x14ac:dyDescent="0.35">
      <c r="A6" s="2">
        <v>5</v>
      </c>
      <c r="B6" s="3" t="s">
        <v>5</v>
      </c>
    </row>
    <row r="7" spans="1:4" ht="18" x14ac:dyDescent="0.35">
      <c r="A7" s="2">
        <v>6</v>
      </c>
      <c r="B7" s="3" t="s">
        <v>6</v>
      </c>
    </row>
  </sheetData>
  <mergeCells count="1">
    <mergeCell ref="A1:B1"/>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0E5B7A-0F0A-4988-A34B-8541A141D4DB}">
  <dimension ref="A1:H23"/>
  <sheetViews>
    <sheetView zoomScale="85" zoomScaleNormal="85" zoomScalePageLayoutView="55" workbookViewId="0">
      <selection activeCell="F5" sqref="F5"/>
    </sheetView>
  </sheetViews>
  <sheetFormatPr defaultRowHeight="14.4" x14ac:dyDescent="0.3"/>
  <cols>
    <col min="1" max="1" width="6.88671875" style="5" customWidth="1"/>
    <col min="2" max="2" width="71.77734375" style="5" customWidth="1"/>
    <col min="3" max="3" width="15.33203125" style="5" customWidth="1"/>
    <col min="4" max="4" width="45.77734375" style="5" bestFit="1" customWidth="1"/>
    <col min="5" max="5" width="8.88671875" style="5"/>
    <col min="6" max="6" width="7.6640625" style="5" bestFit="1" customWidth="1"/>
    <col min="7" max="7" width="23" style="5" bestFit="1" customWidth="1"/>
    <col min="8" max="8" width="9" style="5" bestFit="1" customWidth="1"/>
    <col min="9" max="16384" width="8.88671875" style="5"/>
  </cols>
  <sheetData>
    <row r="1" spans="1:8" ht="18" x14ac:dyDescent="0.35">
      <c r="A1" s="61" t="s">
        <v>0</v>
      </c>
      <c r="B1" s="62"/>
      <c r="C1" s="62"/>
      <c r="D1" s="63"/>
      <c r="F1" s="10" t="s">
        <v>33</v>
      </c>
      <c r="G1" s="10" t="s">
        <v>34</v>
      </c>
      <c r="H1" s="10" t="s">
        <v>36</v>
      </c>
    </row>
    <row r="2" spans="1:8" ht="18" x14ac:dyDescent="0.35">
      <c r="A2" s="8"/>
      <c r="B2" s="59" t="s">
        <v>7</v>
      </c>
      <c r="C2" s="60"/>
      <c r="D2" s="60"/>
      <c r="F2" s="2">
        <v>10001</v>
      </c>
      <c r="G2" s="2" t="s">
        <v>65</v>
      </c>
      <c r="H2" s="2">
        <v>158075</v>
      </c>
    </row>
    <row r="3" spans="1:8" ht="18" x14ac:dyDescent="0.35">
      <c r="A3" s="2"/>
      <c r="B3" s="4" t="s">
        <v>67</v>
      </c>
      <c r="C3" s="4" t="s">
        <v>10</v>
      </c>
      <c r="D3" s="4" t="s">
        <v>66</v>
      </c>
      <c r="F3" s="2">
        <v>10002</v>
      </c>
      <c r="G3" s="2" t="s">
        <v>40</v>
      </c>
      <c r="H3" s="2">
        <v>40713</v>
      </c>
    </row>
    <row r="4" spans="1:8" ht="18" x14ac:dyDescent="0.35">
      <c r="A4" s="2">
        <v>1</v>
      </c>
      <c r="B4" s="2" t="s">
        <v>8</v>
      </c>
      <c r="C4" s="2"/>
      <c r="D4" s="2" t="s">
        <v>11</v>
      </c>
      <c r="F4" s="2">
        <v>10003</v>
      </c>
      <c r="G4" s="2" t="s">
        <v>42</v>
      </c>
      <c r="H4" s="2">
        <v>55568</v>
      </c>
    </row>
    <row r="5" spans="1:8" ht="18" x14ac:dyDescent="0.35">
      <c r="A5" s="2">
        <v>2</v>
      </c>
      <c r="B5" s="2" t="s">
        <v>17</v>
      </c>
      <c r="C5" s="2"/>
      <c r="D5" s="2" t="s">
        <v>18</v>
      </c>
      <c r="F5" s="2">
        <v>10004</v>
      </c>
      <c r="G5" s="2" t="s">
        <v>43</v>
      </c>
      <c r="H5" s="2">
        <v>324002</v>
      </c>
    </row>
    <row r="6" spans="1:8" ht="18" x14ac:dyDescent="0.35">
      <c r="A6" s="2">
        <v>3</v>
      </c>
      <c r="B6" s="2" t="s">
        <v>63</v>
      </c>
      <c r="C6" s="2"/>
      <c r="D6" s="2" t="s">
        <v>12</v>
      </c>
      <c r="F6" s="2">
        <v>10005</v>
      </c>
      <c r="G6" s="2" t="s">
        <v>44</v>
      </c>
      <c r="H6" s="2">
        <v>413737</v>
      </c>
    </row>
    <row r="7" spans="1:8" ht="18" x14ac:dyDescent="0.35">
      <c r="A7" s="2">
        <v>4</v>
      </c>
      <c r="B7" s="2" t="s">
        <v>9</v>
      </c>
      <c r="C7" s="2"/>
      <c r="D7" s="2" t="s">
        <v>13</v>
      </c>
    </row>
    <row r="8" spans="1:8" ht="18" x14ac:dyDescent="0.35">
      <c r="A8" s="2">
        <v>5</v>
      </c>
      <c r="B8" s="2" t="s">
        <v>76</v>
      </c>
      <c r="C8" s="2"/>
      <c r="D8" s="2" t="s">
        <v>14</v>
      </c>
    </row>
    <row r="9" spans="1:8" ht="18" x14ac:dyDescent="0.35">
      <c r="A9" s="2">
        <v>6</v>
      </c>
      <c r="B9" s="2" t="s">
        <v>15</v>
      </c>
      <c r="C9" s="2"/>
      <c r="D9" s="2" t="s">
        <v>16</v>
      </c>
    </row>
    <row r="10" spans="1:8" ht="18" x14ac:dyDescent="0.35">
      <c r="A10" s="2"/>
      <c r="B10" s="6" t="s">
        <v>20</v>
      </c>
      <c r="C10" s="7"/>
      <c r="D10" s="12"/>
    </row>
    <row r="11" spans="1:8" ht="18" x14ac:dyDescent="0.35">
      <c r="A11" s="2">
        <v>7</v>
      </c>
      <c r="B11" s="2" t="s">
        <v>21</v>
      </c>
      <c r="C11" s="2"/>
      <c r="D11" s="2" t="s">
        <v>22</v>
      </c>
    </row>
    <row r="12" spans="1:8" ht="18" x14ac:dyDescent="0.35">
      <c r="A12" s="2">
        <v>8</v>
      </c>
      <c r="B12" s="2" t="s">
        <v>24</v>
      </c>
      <c r="C12" s="2"/>
      <c r="D12" s="2" t="s">
        <v>23</v>
      </c>
    </row>
    <row r="13" spans="1:8" ht="18" x14ac:dyDescent="0.35">
      <c r="A13" s="2">
        <v>9</v>
      </c>
      <c r="B13" s="2" t="s">
        <v>29</v>
      </c>
      <c r="C13" s="2"/>
      <c r="D13" s="2" t="s">
        <v>30</v>
      </c>
    </row>
    <row r="14" spans="1:8" ht="18" x14ac:dyDescent="0.35">
      <c r="A14" s="2">
        <v>10</v>
      </c>
      <c r="B14" s="2" t="s">
        <v>56</v>
      </c>
      <c r="C14" s="2"/>
      <c r="D14" s="2" t="s">
        <v>31</v>
      </c>
    </row>
    <row r="15" spans="1:8" ht="18" x14ac:dyDescent="0.35">
      <c r="A15" s="2">
        <v>11</v>
      </c>
      <c r="B15" s="2" t="s">
        <v>57</v>
      </c>
      <c r="C15" s="2"/>
      <c r="D15" s="2" t="s">
        <v>32</v>
      </c>
    </row>
    <row r="16" spans="1:8" ht="18" x14ac:dyDescent="0.35">
      <c r="A16" s="2">
        <v>12</v>
      </c>
      <c r="B16" s="2" t="s">
        <v>26</v>
      </c>
      <c r="C16" s="2"/>
      <c r="D16" s="2" t="s">
        <v>58</v>
      </c>
    </row>
    <row r="17" spans="1:7" ht="18" x14ac:dyDescent="0.35">
      <c r="A17" s="2">
        <v>13</v>
      </c>
      <c r="B17" s="2" t="s">
        <v>25</v>
      </c>
      <c r="C17" s="2"/>
      <c r="D17" s="2" t="s">
        <v>59</v>
      </c>
      <c r="F17" s="5" t="s">
        <v>62</v>
      </c>
      <c r="G17" s="5" t="s">
        <v>77</v>
      </c>
    </row>
    <row r="18" spans="1:7" ht="18" x14ac:dyDescent="0.35">
      <c r="A18" s="2">
        <v>14</v>
      </c>
      <c r="B18" s="2" t="s">
        <v>27</v>
      </c>
      <c r="C18" s="2"/>
      <c r="D18" s="2" t="s">
        <v>60</v>
      </c>
      <c r="F18" s="5">
        <v>10001</v>
      </c>
    </row>
    <row r="19" spans="1:7" ht="18" x14ac:dyDescent="0.35">
      <c r="A19" s="2">
        <v>15</v>
      </c>
      <c r="B19" s="2" t="s">
        <v>28</v>
      </c>
      <c r="C19" s="2"/>
      <c r="D19" s="2" t="s">
        <v>61</v>
      </c>
    </row>
    <row r="20" spans="1:7" ht="18" x14ac:dyDescent="0.35">
      <c r="A20" s="2">
        <v>16</v>
      </c>
      <c r="B20" s="2" t="s">
        <v>74</v>
      </c>
      <c r="C20" s="2"/>
      <c r="D20" s="2" t="s">
        <v>75</v>
      </c>
    </row>
    <row r="21" spans="1:7" ht="18" x14ac:dyDescent="0.35">
      <c r="A21" s="2"/>
      <c r="B21" s="9" t="s">
        <v>19</v>
      </c>
      <c r="C21" s="9"/>
      <c r="D21" s="2"/>
    </row>
    <row r="23" spans="1:7" ht="15.6" x14ac:dyDescent="0.3">
      <c r="B23" s="11" t="s">
        <v>64</v>
      </c>
      <c r="C23" s="11"/>
    </row>
  </sheetData>
  <mergeCells count="2">
    <mergeCell ref="B2:D2"/>
    <mergeCell ref="A1:D1"/>
  </mergeCells>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05AC0E-8EE1-4D8A-83D9-3E02020A9367}">
  <dimension ref="A1:B18"/>
  <sheetViews>
    <sheetView workbookViewId="0">
      <selection activeCell="B5" sqref="B5"/>
    </sheetView>
  </sheetViews>
  <sheetFormatPr defaultRowHeight="14.4" x14ac:dyDescent="0.3"/>
  <cols>
    <col min="1" max="1" width="3.6640625" bestFit="1" customWidth="1"/>
    <col min="2" max="2" width="73.33203125" bestFit="1" customWidth="1"/>
  </cols>
  <sheetData>
    <row r="1" spans="1:2" ht="18" x14ac:dyDescent="0.35">
      <c r="A1" s="61" t="s">
        <v>0</v>
      </c>
      <c r="B1" s="62"/>
    </row>
    <row r="2" spans="1:2" ht="18" x14ac:dyDescent="0.35">
      <c r="A2" s="60" t="s">
        <v>7</v>
      </c>
      <c r="B2" s="60"/>
    </row>
    <row r="3" spans="1:2" ht="18" x14ac:dyDescent="0.35">
      <c r="A3" s="2">
        <v>1</v>
      </c>
      <c r="B3" s="2" t="s">
        <v>8</v>
      </c>
    </row>
    <row r="4" spans="1:2" ht="18" x14ac:dyDescent="0.35">
      <c r="A4" s="2">
        <v>2</v>
      </c>
      <c r="B4" s="2" t="s">
        <v>17</v>
      </c>
    </row>
    <row r="5" spans="1:2" ht="18" x14ac:dyDescent="0.35">
      <c r="A5" s="2">
        <v>3</v>
      </c>
      <c r="B5" s="2" t="s">
        <v>78</v>
      </c>
    </row>
    <row r="6" spans="1:2" ht="18" x14ac:dyDescent="0.35">
      <c r="A6" s="2">
        <v>4</v>
      </c>
      <c r="B6" s="2" t="s">
        <v>9</v>
      </c>
    </row>
    <row r="7" spans="1:2" ht="18" x14ac:dyDescent="0.35">
      <c r="A7" s="2">
        <v>5</v>
      </c>
      <c r="B7" s="2" t="s">
        <v>76</v>
      </c>
    </row>
    <row r="8" spans="1:2" ht="18" x14ac:dyDescent="0.35">
      <c r="A8" s="2">
        <v>6</v>
      </c>
      <c r="B8" s="2" t="s">
        <v>15</v>
      </c>
    </row>
    <row r="9" spans="1:2" ht="18" x14ac:dyDescent="0.35">
      <c r="A9" s="2">
        <v>7</v>
      </c>
      <c r="B9" s="2" t="s">
        <v>21</v>
      </c>
    </row>
    <row r="10" spans="1:2" ht="18" x14ac:dyDescent="0.35">
      <c r="A10" s="2">
        <v>8</v>
      </c>
      <c r="B10" s="2" t="s">
        <v>24</v>
      </c>
    </row>
    <row r="11" spans="1:2" ht="18" x14ac:dyDescent="0.35">
      <c r="A11" s="2">
        <v>9</v>
      </c>
      <c r="B11" s="2" t="s">
        <v>29</v>
      </c>
    </row>
    <row r="12" spans="1:2" ht="18" x14ac:dyDescent="0.35">
      <c r="A12" s="2">
        <v>10</v>
      </c>
      <c r="B12" s="2" t="s">
        <v>56</v>
      </c>
    </row>
    <row r="13" spans="1:2" ht="18" x14ac:dyDescent="0.35">
      <c r="A13" s="2">
        <v>11</v>
      </c>
      <c r="B13" s="2" t="s">
        <v>57</v>
      </c>
    </row>
    <row r="14" spans="1:2" ht="18" x14ac:dyDescent="0.35">
      <c r="A14" s="2">
        <v>12</v>
      </c>
      <c r="B14" s="2" t="s">
        <v>26</v>
      </c>
    </row>
    <row r="15" spans="1:2" ht="18" x14ac:dyDescent="0.35">
      <c r="A15" s="2">
        <v>13</v>
      </c>
      <c r="B15" s="2" t="s">
        <v>25</v>
      </c>
    </row>
    <row r="16" spans="1:2" ht="18" x14ac:dyDescent="0.35">
      <c r="A16" s="2">
        <v>14</v>
      </c>
      <c r="B16" s="2" t="s">
        <v>27</v>
      </c>
    </row>
    <row r="17" spans="1:2" ht="18" x14ac:dyDescent="0.35">
      <c r="A17" s="2">
        <v>15</v>
      </c>
      <c r="B17" s="2" t="s">
        <v>28</v>
      </c>
    </row>
    <row r="18" spans="1:2" ht="18" x14ac:dyDescent="0.35">
      <c r="A18" s="2">
        <v>16</v>
      </c>
      <c r="B18" s="2" t="s">
        <v>74</v>
      </c>
    </row>
  </sheetData>
  <mergeCells count="2">
    <mergeCell ref="A1:B1"/>
    <mergeCell ref="A2:B2"/>
  </mergeCells>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820924-328D-4DF2-B2D2-97117006F39A}">
  <dimension ref="A1:J18"/>
  <sheetViews>
    <sheetView zoomScale="115" zoomScaleNormal="115" zoomScalePageLayoutView="55" workbookViewId="0">
      <selection activeCell="F2" sqref="F2:J15"/>
    </sheetView>
  </sheetViews>
  <sheetFormatPr defaultRowHeight="15" customHeight="1" x14ac:dyDescent="0.3"/>
  <cols>
    <col min="1" max="1" width="6.109375" customWidth="1"/>
    <col min="2" max="2" width="51.88671875" customWidth="1"/>
    <col min="3" max="3" width="16.33203125" bestFit="1" customWidth="1"/>
    <col min="4" max="4" width="10.5546875" customWidth="1"/>
    <col min="6" max="6" width="6.21875" bestFit="1" customWidth="1"/>
    <col min="7" max="7" width="18.33203125" bestFit="1" customWidth="1"/>
    <col min="8" max="8" width="16.21875" bestFit="1" customWidth="1"/>
    <col min="9" max="9" width="7.21875" bestFit="1" customWidth="1"/>
    <col min="10" max="10" width="5.88671875" bestFit="1" customWidth="1"/>
  </cols>
  <sheetData>
    <row r="1" spans="1:10" ht="15" customHeight="1" x14ac:dyDescent="0.3">
      <c r="F1" s="68" t="s">
        <v>93</v>
      </c>
      <c r="G1" s="68"/>
      <c r="H1" s="68"/>
      <c r="I1" s="68"/>
      <c r="J1" s="68"/>
    </row>
    <row r="2" spans="1:10" ht="15" customHeight="1" x14ac:dyDescent="0.3">
      <c r="A2" s="15"/>
      <c r="B2" s="15" t="s">
        <v>0</v>
      </c>
      <c r="C2" s="15" t="s">
        <v>79</v>
      </c>
      <c r="F2" s="18" t="s">
        <v>33</v>
      </c>
      <c r="G2" s="18" t="s">
        <v>34</v>
      </c>
      <c r="H2" s="18" t="s">
        <v>35</v>
      </c>
      <c r="I2" s="18" t="s">
        <v>36</v>
      </c>
      <c r="J2" s="18" t="s">
        <v>37</v>
      </c>
    </row>
    <row r="3" spans="1:10" ht="14.4" customHeight="1" x14ac:dyDescent="0.3">
      <c r="A3" s="64" t="s">
        <v>91</v>
      </c>
      <c r="B3" s="65"/>
      <c r="C3" s="66"/>
      <c r="E3" s="67" t="s">
        <v>92</v>
      </c>
      <c r="F3" s="13">
        <v>10001</v>
      </c>
      <c r="G3" s="13" t="s">
        <v>85</v>
      </c>
      <c r="H3" s="13" t="s">
        <v>38</v>
      </c>
      <c r="I3" s="13">
        <v>158075</v>
      </c>
      <c r="J3" s="13" t="s">
        <v>39</v>
      </c>
    </row>
    <row r="4" spans="1:10" ht="15" customHeight="1" x14ac:dyDescent="0.3">
      <c r="A4" s="14">
        <v>1</v>
      </c>
      <c r="B4" s="16" t="s">
        <v>70</v>
      </c>
      <c r="C4" s="14"/>
      <c r="E4" s="67"/>
      <c r="F4" s="13">
        <v>10002</v>
      </c>
      <c r="G4" s="13" t="s">
        <v>40</v>
      </c>
      <c r="H4" s="13" t="s">
        <v>41</v>
      </c>
      <c r="I4" s="13">
        <v>40713</v>
      </c>
      <c r="J4" s="13" t="s">
        <v>39</v>
      </c>
    </row>
    <row r="5" spans="1:10" ht="15" customHeight="1" x14ac:dyDescent="0.3">
      <c r="A5" s="14">
        <v>2</v>
      </c>
      <c r="B5" s="16" t="s">
        <v>94</v>
      </c>
      <c r="C5" s="14"/>
      <c r="E5" s="67"/>
      <c r="F5" s="13">
        <v>10003</v>
      </c>
      <c r="G5" s="13" t="s">
        <v>42</v>
      </c>
      <c r="H5" s="13" t="s">
        <v>41</v>
      </c>
      <c r="I5" s="13">
        <v>55568</v>
      </c>
      <c r="J5" s="13" t="s">
        <v>39</v>
      </c>
    </row>
    <row r="6" spans="1:10" ht="15" customHeight="1" x14ac:dyDescent="0.3">
      <c r="A6" s="14"/>
      <c r="B6" s="16" t="s">
        <v>82</v>
      </c>
      <c r="C6" s="17" t="s">
        <v>89</v>
      </c>
      <c r="E6" s="67"/>
      <c r="F6" s="13">
        <v>10004</v>
      </c>
      <c r="G6" s="13" t="s">
        <v>43</v>
      </c>
      <c r="H6" s="13" t="s">
        <v>41</v>
      </c>
      <c r="I6" s="13">
        <v>324002</v>
      </c>
      <c r="J6" s="13" t="s">
        <v>39</v>
      </c>
    </row>
    <row r="7" spans="1:10" ht="15.6" customHeight="1" x14ac:dyDescent="0.3">
      <c r="A7" s="14"/>
      <c r="B7" s="16" t="s">
        <v>88</v>
      </c>
      <c r="C7" s="17" t="s">
        <v>90</v>
      </c>
      <c r="F7" s="13">
        <v>10005</v>
      </c>
      <c r="G7" s="13" t="s">
        <v>44</v>
      </c>
      <c r="H7" s="13" t="s">
        <v>41</v>
      </c>
      <c r="I7" s="13">
        <v>413737</v>
      </c>
      <c r="J7" s="13" t="s">
        <v>39</v>
      </c>
    </row>
    <row r="8" spans="1:10" ht="15" customHeight="1" x14ac:dyDescent="0.3">
      <c r="A8" s="14"/>
      <c r="B8" s="16" t="s">
        <v>95</v>
      </c>
      <c r="C8" s="14" t="s">
        <v>83</v>
      </c>
      <c r="F8" s="13">
        <v>10006</v>
      </c>
      <c r="G8" s="13" t="s">
        <v>45</v>
      </c>
      <c r="H8" s="13" t="s">
        <v>46</v>
      </c>
      <c r="I8" s="13">
        <v>124626</v>
      </c>
      <c r="J8" s="13" t="s">
        <v>39</v>
      </c>
    </row>
    <row r="9" spans="1:10" ht="15" customHeight="1" x14ac:dyDescent="0.3">
      <c r="A9" s="14">
        <v>3</v>
      </c>
      <c r="B9" s="16" t="s">
        <v>80</v>
      </c>
      <c r="C9" s="14"/>
      <c r="F9" s="13">
        <v>10007</v>
      </c>
      <c r="G9" s="13" t="s">
        <v>47</v>
      </c>
      <c r="H9" s="13" t="s">
        <v>46</v>
      </c>
      <c r="I9" s="13">
        <v>179583</v>
      </c>
      <c r="J9" s="13" t="s">
        <v>39</v>
      </c>
    </row>
    <row r="10" spans="1:10" ht="15" customHeight="1" x14ac:dyDescent="0.3">
      <c r="A10" s="14"/>
      <c r="B10" s="16" t="s">
        <v>81</v>
      </c>
      <c r="C10" s="13"/>
      <c r="F10" s="13">
        <v>10008</v>
      </c>
      <c r="G10" s="13" t="s">
        <v>48</v>
      </c>
      <c r="H10" s="13" t="s">
        <v>38</v>
      </c>
      <c r="I10" s="13">
        <v>163750</v>
      </c>
      <c r="J10" s="13" t="s">
        <v>49</v>
      </c>
    </row>
    <row r="11" spans="1:10" ht="15" customHeight="1" x14ac:dyDescent="0.3">
      <c r="A11" s="14"/>
      <c r="B11" s="16" t="s">
        <v>69</v>
      </c>
      <c r="C11" s="14"/>
      <c r="F11" s="13">
        <v>10009</v>
      </c>
      <c r="G11" s="13" t="s">
        <v>50</v>
      </c>
      <c r="H11" s="13" t="s">
        <v>41</v>
      </c>
      <c r="I11" s="13">
        <v>97898</v>
      </c>
      <c r="J11" s="13" t="s">
        <v>49</v>
      </c>
    </row>
    <row r="12" spans="1:10" ht="15.6" x14ac:dyDescent="0.3">
      <c r="A12" s="14"/>
      <c r="B12" s="16" t="s">
        <v>71</v>
      </c>
      <c r="C12" s="14"/>
      <c r="F12" s="13">
        <v>10010</v>
      </c>
      <c r="G12" s="13" t="s">
        <v>51</v>
      </c>
      <c r="H12" s="13" t="s">
        <v>41</v>
      </c>
      <c r="I12" s="13">
        <v>222153</v>
      </c>
      <c r="J12" s="13" t="s">
        <v>49</v>
      </c>
    </row>
    <row r="13" spans="1:10" ht="15.6" x14ac:dyDescent="0.3">
      <c r="A13" s="14"/>
      <c r="B13" s="16" t="s">
        <v>72</v>
      </c>
      <c r="C13" s="14"/>
      <c r="F13" s="13">
        <v>10011</v>
      </c>
      <c r="G13" s="13" t="s">
        <v>52</v>
      </c>
      <c r="H13" s="13" t="s">
        <v>41</v>
      </c>
      <c r="I13" s="13">
        <v>403604</v>
      </c>
      <c r="J13" s="13" t="s">
        <v>49</v>
      </c>
    </row>
    <row r="14" spans="1:10" ht="15.6" x14ac:dyDescent="0.3">
      <c r="A14" s="14"/>
      <c r="B14" s="16" t="s">
        <v>73</v>
      </c>
      <c r="C14" s="14"/>
      <c r="F14" s="13">
        <v>10012</v>
      </c>
      <c r="G14" s="13" t="s">
        <v>53</v>
      </c>
      <c r="H14" s="13" t="s">
        <v>41</v>
      </c>
      <c r="I14" s="13">
        <v>216228</v>
      </c>
      <c r="J14" s="13" t="s">
        <v>54</v>
      </c>
    </row>
    <row r="15" spans="1:10" ht="15.6" x14ac:dyDescent="0.3">
      <c r="A15" s="14"/>
      <c r="B15" s="16" t="s">
        <v>68</v>
      </c>
      <c r="C15" s="14"/>
      <c r="F15" s="13">
        <v>10013</v>
      </c>
      <c r="G15" s="13" t="s">
        <v>55</v>
      </c>
      <c r="H15" s="13" t="s">
        <v>41</v>
      </c>
      <c r="I15" s="13">
        <v>177897</v>
      </c>
      <c r="J15" s="13" t="s">
        <v>54</v>
      </c>
    </row>
    <row r="16" spans="1:10" ht="15" customHeight="1" x14ac:dyDescent="0.3">
      <c r="A16" s="14"/>
      <c r="B16" s="16" t="s">
        <v>86</v>
      </c>
      <c r="C16" s="14"/>
    </row>
    <row r="17" spans="1:7" ht="15" customHeight="1" x14ac:dyDescent="0.3">
      <c r="A17" s="14"/>
      <c r="B17" s="16" t="s">
        <v>87</v>
      </c>
      <c r="C17" s="14" t="s">
        <v>84</v>
      </c>
      <c r="G17" s="16" t="s">
        <v>88</v>
      </c>
    </row>
    <row r="18" spans="1:7" ht="15" customHeight="1" x14ac:dyDescent="0.3">
      <c r="G18" s="19"/>
    </row>
  </sheetData>
  <mergeCells count="3">
    <mergeCell ref="A3:C3"/>
    <mergeCell ref="E3:E6"/>
    <mergeCell ref="F1:J1"/>
  </mergeCells>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FDE15A-12DC-45E0-9283-3B47338F3FAC}">
  <dimension ref="A1:W15"/>
  <sheetViews>
    <sheetView zoomScaleNormal="100" workbookViewId="0">
      <selection sqref="A1:B3"/>
    </sheetView>
  </sheetViews>
  <sheetFormatPr defaultRowHeight="14.4" x14ac:dyDescent="0.3"/>
  <cols>
    <col min="1" max="1" width="10.44140625" customWidth="1"/>
    <col min="2" max="2" width="44.21875" style="23" customWidth="1"/>
    <col min="4" max="4" width="27" bestFit="1" customWidth="1"/>
    <col min="5" max="5" width="5.5546875" bestFit="1" customWidth="1"/>
    <col min="6" max="6" width="7.33203125" bestFit="1" customWidth="1"/>
    <col min="7" max="7" width="6.88671875" bestFit="1" customWidth="1"/>
    <col min="8" max="8" width="8.88671875" customWidth="1"/>
  </cols>
  <sheetData>
    <row r="1" spans="1:23" ht="15.6" x14ac:dyDescent="0.3">
      <c r="A1" s="15" t="s">
        <v>117</v>
      </c>
      <c r="B1" s="22" t="s">
        <v>0</v>
      </c>
      <c r="D1" s="69" t="s">
        <v>104</v>
      </c>
      <c r="E1" s="69"/>
      <c r="F1" s="69"/>
      <c r="G1" s="69"/>
      <c r="H1" s="69"/>
      <c r="I1" t="s">
        <v>122</v>
      </c>
      <c r="O1" s="69" t="s">
        <v>113</v>
      </c>
      <c r="P1" s="69"/>
      <c r="Q1" s="69"/>
      <c r="R1" s="69"/>
      <c r="T1" s="69" t="s">
        <v>116</v>
      </c>
      <c r="U1" s="69"/>
      <c r="V1" s="69"/>
      <c r="W1" s="69"/>
    </row>
    <row r="2" spans="1:23" ht="15.6" x14ac:dyDescent="0.3">
      <c r="A2" s="14">
        <v>1</v>
      </c>
      <c r="B2" s="16" t="s">
        <v>118</v>
      </c>
      <c r="D2" s="20" t="s">
        <v>96</v>
      </c>
      <c r="E2" s="20" t="s">
        <v>97</v>
      </c>
      <c r="F2" s="20" t="s">
        <v>98</v>
      </c>
      <c r="G2" s="20" t="s">
        <v>99</v>
      </c>
      <c r="H2" s="21" t="s">
        <v>104</v>
      </c>
      <c r="I2" s="21" t="s">
        <v>104</v>
      </c>
      <c r="J2" s="21" t="s">
        <v>104</v>
      </c>
      <c r="K2" s="25" t="s">
        <v>120</v>
      </c>
      <c r="L2" s="25" t="s">
        <v>120</v>
      </c>
      <c r="O2" s="20" t="s">
        <v>105</v>
      </c>
      <c r="P2" s="20" t="s">
        <v>106</v>
      </c>
      <c r="Q2" s="20" t="s">
        <v>107</v>
      </c>
      <c r="R2" s="20" t="s">
        <v>114</v>
      </c>
      <c r="T2" s="20" t="s">
        <v>105</v>
      </c>
      <c r="U2" s="20" t="s">
        <v>114</v>
      </c>
      <c r="V2" s="20" t="s">
        <v>107</v>
      </c>
      <c r="W2" s="20" t="s">
        <v>115</v>
      </c>
    </row>
    <row r="3" spans="1:23" ht="15.6" x14ac:dyDescent="0.3">
      <c r="A3" s="14">
        <v>2</v>
      </c>
      <c r="B3" s="16" t="s">
        <v>119</v>
      </c>
      <c r="D3" s="13" t="s">
        <v>100</v>
      </c>
      <c r="E3" s="13">
        <v>100</v>
      </c>
      <c r="F3" s="13">
        <v>78</v>
      </c>
      <c r="G3" s="13">
        <v>90</v>
      </c>
      <c r="H3" s="26">
        <f>E3+F3+G3</f>
        <v>268</v>
      </c>
      <c r="I3">
        <f>SUM(E3,F3,G3)</f>
        <v>268</v>
      </c>
      <c r="J3">
        <f>SUM(E3:G3)</f>
        <v>268</v>
      </c>
      <c r="K3">
        <f>300-J3</f>
        <v>32</v>
      </c>
      <c r="L3">
        <f>300-SUM(E3:G3)</f>
        <v>32</v>
      </c>
      <c r="O3" s="13" t="s">
        <v>108</v>
      </c>
      <c r="P3" s="13">
        <v>10</v>
      </c>
      <c r="Q3" s="13">
        <v>5</v>
      </c>
      <c r="R3" s="21">
        <f>P3*Q3</f>
        <v>50</v>
      </c>
      <c r="T3" s="13" t="s">
        <v>108</v>
      </c>
      <c r="U3" s="13">
        <v>50</v>
      </c>
      <c r="V3" s="13">
        <v>5</v>
      </c>
      <c r="W3" s="21">
        <f>U3/V3</f>
        <v>10</v>
      </c>
    </row>
    <row r="4" spans="1:23" x14ac:dyDescent="0.3">
      <c r="D4" s="13" t="s">
        <v>101</v>
      </c>
      <c r="E4" s="13">
        <v>92</v>
      </c>
      <c r="F4" s="13">
        <v>88</v>
      </c>
      <c r="G4" s="13">
        <v>84</v>
      </c>
      <c r="H4" s="21">
        <f t="shared" ref="H4:H6" si="0">E4+F4+G4</f>
        <v>264</v>
      </c>
      <c r="I4">
        <f t="shared" ref="I4:I6" si="1">SUM(E4,F4,G4)</f>
        <v>264</v>
      </c>
      <c r="J4">
        <f t="shared" ref="J4:J6" si="2">SUM(E4:G4)</f>
        <v>264</v>
      </c>
      <c r="K4">
        <f t="shared" ref="K4:K6" si="3">300-J4</f>
        <v>36</v>
      </c>
      <c r="L4">
        <f t="shared" ref="L4:L6" si="4">300-SUM(E4:G4)</f>
        <v>36</v>
      </c>
      <c r="O4" s="13" t="s">
        <v>109</v>
      </c>
      <c r="P4" s="13">
        <v>8</v>
      </c>
      <c r="Q4" s="13">
        <v>4</v>
      </c>
      <c r="R4" s="21">
        <f>P4*Q4</f>
        <v>32</v>
      </c>
      <c r="T4" s="13" t="s">
        <v>109</v>
      </c>
      <c r="U4" s="13">
        <v>32</v>
      </c>
      <c r="V4" s="13">
        <v>4</v>
      </c>
      <c r="W4" s="21">
        <f t="shared" ref="W4:W7" si="5">U4/V4</f>
        <v>8</v>
      </c>
    </row>
    <row r="5" spans="1:23" x14ac:dyDescent="0.3">
      <c r="D5" s="13" t="s">
        <v>102</v>
      </c>
      <c r="E5" s="13">
        <v>76</v>
      </c>
      <c r="F5" s="13">
        <v>80</v>
      </c>
      <c r="G5" s="13">
        <v>70</v>
      </c>
      <c r="H5" s="21">
        <f t="shared" si="0"/>
        <v>226</v>
      </c>
      <c r="I5">
        <f t="shared" si="1"/>
        <v>226</v>
      </c>
      <c r="J5">
        <f t="shared" si="2"/>
        <v>226</v>
      </c>
      <c r="K5">
        <f t="shared" si="3"/>
        <v>74</v>
      </c>
      <c r="L5">
        <f t="shared" si="4"/>
        <v>74</v>
      </c>
      <c r="O5" s="13" t="s">
        <v>110</v>
      </c>
      <c r="P5" s="13">
        <v>15</v>
      </c>
      <c r="Q5" s="13">
        <v>6</v>
      </c>
      <c r="R5" s="21">
        <f>P5*Q5</f>
        <v>90</v>
      </c>
      <c r="T5" s="13" t="s">
        <v>110</v>
      </c>
      <c r="U5" s="13">
        <v>90</v>
      </c>
      <c r="V5" s="13">
        <v>6</v>
      </c>
      <c r="W5" s="21">
        <f t="shared" si="5"/>
        <v>15</v>
      </c>
    </row>
    <row r="6" spans="1:23" x14ac:dyDescent="0.3">
      <c r="D6" s="13" t="s">
        <v>103</v>
      </c>
      <c r="E6" s="13">
        <v>89</v>
      </c>
      <c r="F6" s="13">
        <v>95</v>
      </c>
      <c r="G6" s="13">
        <v>92</v>
      </c>
      <c r="H6" s="21">
        <f t="shared" si="0"/>
        <v>276</v>
      </c>
      <c r="I6">
        <f t="shared" si="1"/>
        <v>276</v>
      </c>
      <c r="J6">
        <f t="shared" si="2"/>
        <v>276</v>
      </c>
      <c r="K6">
        <f t="shared" si="3"/>
        <v>24</v>
      </c>
      <c r="L6">
        <f t="shared" si="4"/>
        <v>24</v>
      </c>
      <c r="O6" s="13" t="s">
        <v>111</v>
      </c>
      <c r="P6" s="13">
        <v>12</v>
      </c>
      <c r="Q6" s="13">
        <v>7</v>
      </c>
      <c r="R6" s="21">
        <f>P6*Q6</f>
        <v>84</v>
      </c>
      <c r="T6" s="13" t="s">
        <v>111</v>
      </c>
      <c r="U6" s="13">
        <v>84</v>
      </c>
      <c r="V6" s="13">
        <v>7</v>
      </c>
      <c r="W6" s="21">
        <f t="shared" si="5"/>
        <v>12</v>
      </c>
    </row>
    <row r="7" spans="1:23" x14ac:dyDescent="0.3">
      <c r="D7" s="21" t="s">
        <v>104</v>
      </c>
      <c r="E7" s="21">
        <f>SUM(E3:E6)</f>
        <v>357</v>
      </c>
      <c r="F7" s="21">
        <f t="shared" ref="F7:G7" si="6">SUM(F3:F6)</f>
        <v>341</v>
      </c>
      <c r="G7" s="21">
        <f t="shared" si="6"/>
        <v>336</v>
      </c>
      <c r="H7" s="21"/>
      <c r="O7" s="13" t="s">
        <v>112</v>
      </c>
      <c r="P7" s="13">
        <v>5</v>
      </c>
      <c r="Q7" s="13">
        <v>10</v>
      </c>
      <c r="R7" s="21">
        <f>P7*Q7</f>
        <v>50</v>
      </c>
      <c r="T7" s="13" t="s">
        <v>112</v>
      </c>
      <c r="U7" s="13">
        <v>50</v>
      </c>
      <c r="V7" s="13">
        <v>10</v>
      </c>
      <c r="W7" s="21">
        <f t="shared" si="5"/>
        <v>5</v>
      </c>
    </row>
    <row r="8" spans="1:23" x14ac:dyDescent="0.3">
      <c r="D8" s="24" t="s">
        <v>121</v>
      </c>
    </row>
    <row r="10" spans="1:23" x14ac:dyDescent="0.3">
      <c r="D10" s="32">
        <v>46078</v>
      </c>
      <c r="F10" s="29">
        <v>0.45</v>
      </c>
      <c r="H10" s="31">
        <v>8956</v>
      </c>
    </row>
    <row r="11" spans="1:23" x14ac:dyDescent="0.3">
      <c r="F11" s="29">
        <v>0.52</v>
      </c>
    </row>
    <row r="12" spans="1:23" x14ac:dyDescent="0.3">
      <c r="D12" s="27">
        <v>54862</v>
      </c>
      <c r="F12" s="29">
        <v>0.89</v>
      </c>
    </row>
    <row r="13" spans="1:23" x14ac:dyDescent="0.3">
      <c r="F13" s="29">
        <v>0.52</v>
      </c>
    </row>
    <row r="14" spans="1:23" x14ac:dyDescent="0.3">
      <c r="D14" s="28">
        <v>5623</v>
      </c>
    </row>
    <row r="15" spans="1:23" x14ac:dyDescent="0.3">
      <c r="D15" s="30">
        <v>789654</v>
      </c>
    </row>
  </sheetData>
  <mergeCells count="3">
    <mergeCell ref="O1:R1"/>
    <mergeCell ref="T1:W1"/>
    <mergeCell ref="D1:H1"/>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539172-825D-4945-9C45-0E227ED2767A}">
  <dimension ref="A1:G11"/>
  <sheetViews>
    <sheetView zoomScale="145" zoomScaleNormal="145" workbookViewId="0">
      <selection sqref="A1:G11"/>
    </sheetView>
  </sheetViews>
  <sheetFormatPr defaultRowHeight="14.4" x14ac:dyDescent="0.3"/>
  <cols>
    <col min="1" max="1" width="9.33203125" customWidth="1"/>
    <col min="2" max="2" width="11.109375" bestFit="1" customWidth="1"/>
    <col min="3" max="3" width="4.21875" bestFit="1" customWidth="1"/>
    <col min="4" max="4" width="10" customWidth="1"/>
    <col min="5" max="5" width="11.21875" bestFit="1" customWidth="1"/>
    <col min="6" max="6" width="11.88671875" bestFit="1" customWidth="1"/>
    <col min="7" max="7" width="13.109375" bestFit="1" customWidth="1"/>
  </cols>
  <sheetData>
    <row r="1" spans="1:7" x14ac:dyDescent="0.3">
      <c r="A1" s="35" t="s">
        <v>123</v>
      </c>
      <c r="B1" s="35" t="s">
        <v>124</v>
      </c>
      <c r="C1" s="35" t="s">
        <v>125</v>
      </c>
      <c r="D1" s="35" t="s">
        <v>126</v>
      </c>
      <c r="E1" s="35" t="s">
        <v>127</v>
      </c>
      <c r="F1" s="35" t="s">
        <v>128</v>
      </c>
      <c r="G1" s="35" t="s">
        <v>129</v>
      </c>
    </row>
    <row r="2" spans="1:7" x14ac:dyDescent="0.3">
      <c r="A2" s="33" t="s">
        <v>130</v>
      </c>
      <c r="B2" s="33" t="s">
        <v>131</v>
      </c>
      <c r="C2" s="33">
        <v>25</v>
      </c>
      <c r="D2" s="33">
        <v>35000</v>
      </c>
      <c r="E2" s="34">
        <v>46054</v>
      </c>
      <c r="F2" s="33">
        <v>78</v>
      </c>
      <c r="G2" s="33" t="s">
        <v>132</v>
      </c>
    </row>
    <row r="3" spans="1:7" x14ac:dyDescent="0.3">
      <c r="A3" s="33" t="s">
        <v>133</v>
      </c>
      <c r="B3" s="33" t="s">
        <v>134</v>
      </c>
      <c r="C3" s="33">
        <v>32</v>
      </c>
      <c r="D3" s="33">
        <v>55000</v>
      </c>
      <c r="E3" s="34">
        <v>46064</v>
      </c>
      <c r="F3" s="33">
        <v>92</v>
      </c>
      <c r="G3" s="33" t="s">
        <v>135</v>
      </c>
    </row>
    <row r="4" spans="1:7" x14ac:dyDescent="0.3">
      <c r="A4" s="33" t="s">
        <v>136</v>
      </c>
      <c r="B4" s="33" t="s">
        <v>137</v>
      </c>
      <c r="C4" s="33">
        <v>32</v>
      </c>
      <c r="D4" s="33">
        <v>48000</v>
      </c>
      <c r="E4" s="34">
        <v>46074</v>
      </c>
      <c r="F4" s="33">
        <v>65</v>
      </c>
      <c r="G4" s="33" t="s">
        <v>138</v>
      </c>
    </row>
    <row r="5" spans="1:7" x14ac:dyDescent="0.3">
      <c r="A5" s="33" t="s">
        <v>139</v>
      </c>
      <c r="B5" s="33" t="s">
        <v>140</v>
      </c>
      <c r="C5" s="33">
        <v>41</v>
      </c>
      <c r="D5" s="33">
        <v>62000</v>
      </c>
      <c r="E5" s="34">
        <v>46084</v>
      </c>
      <c r="F5" s="33">
        <v>88</v>
      </c>
      <c r="G5" s="33" t="s">
        <v>135</v>
      </c>
    </row>
    <row r="6" spans="1:7" x14ac:dyDescent="0.3">
      <c r="A6" s="33" t="s">
        <v>141</v>
      </c>
      <c r="B6" s="33" t="s">
        <v>131</v>
      </c>
      <c r="C6" s="33">
        <v>28</v>
      </c>
      <c r="D6" s="33">
        <v>37000</v>
      </c>
      <c r="E6" s="34">
        <v>46094</v>
      </c>
      <c r="F6" s="33">
        <v>55</v>
      </c>
      <c r="G6" s="33" t="s">
        <v>142</v>
      </c>
    </row>
    <row r="7" spans="1:7" x14ac:dyDescent="0.3">
      <c r="A7" s="33" t="s">
        <v>143</v>
      </c>
      <c r="B7" s="33" t="s">
        <v>137</v>
      </c>
      <c r="C7" s="33">
        <v>35</v>
      </c>
      <c r="D7" s="33">
        <v>51000</v>
      </c>
      <c r="E7" s="34">
        <v>46104</v>
      </c>
      <c r="F7" s="33">
        <v>73</v>
      </c>
      <c r="G7" s="33" t="s">
        <v>132</v>
      </c>
    </row>
    <row r="8" spans="1:7" x14ac:dyDescent="0.3">
      <c r="A8" s="33" t="s">
        <v>144</v>
      </c>
      <c r="B8" s="33" t="s">
        <v>134</v>
      </c>
      <c r="C8" s="33">
        <v>30</v>
      </c>
      <c r="D8" s="33">
        <v>45000</v>
      </c>
      <c r="E8" s="34">
        <v>46114</v>
      </c>
      <c r="F8" s="33">
        <v>60</v>
      </c>
      <c r="G8" s="33" t="s">
        <v>138</v>
      </c>
    </row>
    <row r="9" spans="1:7" x14ac:dyDescent="0.3">
      <c r="A9" s="33" t="s">
        <v>145</v>
      </c>
      <c r="B9" s="33" t="s">
        <v>140</v>
      </c>
      <c r="C9" s="33">
        <v>27</v>
      </c>
      <c r="D9" s="33">
        <v>40000</v>
      </c>
      <c r="E9" s="34">
        <v>46124</v>
      </c>
      <c r="F9" s="33">
        <v>95</v>
      </c>
      <c r="G9" s="33" t="s">
        <v>146</v>
      </c>
    </row>
    <row r="10" spans="1:7" x14ac:dyDescent="0.3">
      <c r="A10" s="33" t="s">
        <v>147</v>
      </c>
      <c r="B10" s="33" t="s">
        <v>137</v>
      </c>
      <c r="C10" s="33">
        <v>27</v>
      </c>
      <c r="D10" s="33">
        <v>70000</v>
      </c>
      <c r="E10" s="34">
        <v>46134</v>
      </c>
      <c r="F10" s="33">
        <v>82</v>
      </c>
      <c r="G10" s="33" t="s">
        <v>135</v>
      </c>
    </row>
    <row r="11" spans="1:7" x14ac:dyDescent="0.3">
      <c r="A11" s="33" t="s">
        <v>148</v>
      </c>
      <c r="B11" s="33" t="s">
        <v>131</v>
      </c>
      <c r="C11" s="33">
        <v>26</v>
      </c>
      <c r="D11" s="33">
        <v>36000</v>
      </c>
      <c r="E11" s="34">
        <v>46144</v>
      </c>
      <c r="F11" s="33">
        <v>45</v>
      </c>
      <c r="G11" s="33" t="s">
        <v>142</v>
      </c>
    </row>
  </sheetData>
  <conditionalFormatting sqref="C2:C11">
    <cfRule type="duplicateValues" dxfId="0" priority="2"/>
  </conditionalFormatting>
  <conditionalFormatting sqref="F2:F11">
    <cfRule type="iconSet" priority="3">
      <iconSet>
        <cfvo type="percent" val="0"/>
        <cfvo type="percent" val="33"/>
        <cfvo type="percent" val="67"/>
      </iconSet>
    </cfRule>
    <cfRule type="colorScale" priority="4">
      <colorScale>
        <cfvo type="min"/>
        <cfvo type="percentile" val="50"/>
        <cfvo type="max"/>
        <color rgb="FFF8696B"/>
        <color rgb="FFFFEB84"/>
        <color rgb="FF63BE7B"/>
      </colorScale>
    </cfRule>
  </conditionalFormatting>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6BBF5F-9513-4195-A75F-0B8A5833F297}">
  <dimension ref="A1:J16"/>
  <sheetViews>
    <sheetView zoomScale="115" zoomScaleNormal="115" workbookViewId="0">
      <selection activeCell="D6" sqref="D6:J16"/>
    </sheetView>
  </sheetViews>
  <sheetFormatPr defaultRowHeight="14.4" x14ac:dyDescent="0.3"/>
  <cols>
    <col min="2" max="2" width="27.109375" customWidth="1"/>
    <col min="4" max="4" width="10.77734375" customWidth="1"/>
    <col min="5" max="5" width="12.6640625" customWidth="1"/>
    <col min="6" max="6" width="5.77734375" customWidth="1"/>
    <col min="7" max="7" width="7.5546875" customWidth="1"/>
    <col min="8" max="8" width="12.77734375" customWidth="1"/>
    <col min="9" max="9" width="13.33203125" customWidth="1"/>
    <col min="10" max="10" width="13.109375" bestFit="1" customWidth="1"/>
  </cols>
  <sheetData>
    <row r="1" spans="1:10" ht="15.6" x14ac:dyDescent="0.3">
      <c r="A1" s="15" t="s">
        <v>117</v>
      </c>
      <c r="B1" s="22" t="s">
        <v>0</v>
      </c>
    </row>
    <row r="2" spans="1:10" ht="15.6" x14ac:dyDescent="0.3">
      <c r="A2" s="14">
        <v>1</v>
      </c>
      <c r="B2" s="16" t="s">
        <v>149</v>
      </c>
    </row>
    <row r="3" spans="1:10" ht="15.6" x14ac:dyDescent="0.3">
      <c r="A3" s="14">
        <v>2</v>
      </c>
      <c r="B3" s="16" t="s">
        <v>150</v>
      </c>
    </row>
    <row r="4" spans="1:10" ht="15.6" x14ac:dyDescent="0.3">
      <c r="A4" s="14">
        <v>3</v>
      </c>
      <c r="B4" s="16" t="s">
        <v>151</v>
      </c>
    </row>
    <row r="6" spans="1:10" x14ac:dyDescent="0.3">
      <c r="D6" s="42" t="s">
        <v>123</v>
      </c>
      <c r="E6" s="43" t="s">
        <v>124</v>
      </c>
      <c r="F6" s="43" t="s">
        <v>125</v>
      </c>
      <c r="G6" s="43" t="s">
        <v>126</v>
      </c>
      <c r="H6" s="43" t="s">
        <v>127</v>
      </c>
      <c r="I6" s="43" t="s">
        <v>128</v>
      </c>
      <c r="J6" s="44" t="s">
        <v>129</v>
      </c>
    </row>
    <row r="7" spans="1:10" x14ac:dyDescent="0.3">
      <c r="D7" s="38" t="s">
        <v>130</v>
      </c>
      <c r="E7" s="33" t="s">
        <v>131</v>
      </c>
      <c r="F7" s="33">
        <v>25</v>
      </c>
      <c r="G7" s="33">
        <v>35000</v>
      </c>
      <c r="H7" s="34">
        <v>46054</v>
      </c>
      <c r="I7" s="33">
        <v>78</v>
      </c>
      <c r="J7" s="39" t="s">
        <v>132</v>
      </c>
    </row>
    <row r="8" spans="1:10" x14ac:dyDescent="0.3">
      <c r="D8" s="38" t="s">
        <v>133</v>
      </c>
      <c r="E8" s="33" t="s">
        <v>134</v>
      </c>
      <c r="F8" s="33">
        <v>32</v>
      </c>
      <c r="G8" s="33">
        <v>55000</v>
      </c>
      <c r="H8" s="34">
        <v>46064</v>
      </c>
      <c r="I8" s="33">
        <v>92</v>
      </c>
      <c r="J8" s="39" t="s">
        <v>135</v>
      </c>
    </row>
    <row r="9" spans="1:10" x14ac:dyDescent="0.3">
      <c r="D9" s="38" t="s">
        <v>136</v>
      </c>
      <c r="E9" s="33" t="s">
        <v>137</v>
      </c>
      <c r="F9" s="33">
        <v>32</v>
      </c>
      <c r="G9" s="33">
        <v>48000</v>
      </c>
      <c r="H9" s="34">
        <v>46074</v>
      </c>
      <c r="I9" s="33">
        <v>65</v>
      </c>
      <c r="J9" s="39" t="s">
        <v>138</v>
      </c>
    </row>
    <row r="10" spans="1:10" x14ac:dyDescent="0.3">
      <c r="D10" s="38" t="s">
        <v>139</v>
      </c>
      <c r="E10" s="33" t="s">
        <v>140</v>
      </c>
      <c r="F10" s="33">
        <v>41</v>
      </c>
      <c r="G10" s="33">
        <v>62000</v>
      </c>
      <c r="H10" s="34">
        <v>46084</v>
      </c>
      <c r="I10" s="33">
        <v>88</v>
      </c>
      <c r="J10" s="39" t="s">
        <v>135</v>
      </c>
    </row>
    <row r="11" spans="1:10" x14ac:dyDescent="0.3">
      <c r="D11" s="38" t="s">
        <v>141</v>
      </c>
      <c r="E11" s="33" t="s">
        <v>131</v>
      </c>
      <c r="F11" s="33">
        <v>28</v>
      </c>
      <c r="G11" s="33">
        <v>37000</v>
      </c>
      <c r="H11" s="34">
        <v>46094</v>
      </c>
      <c r="I11" s="33">
        <v>55</v>
      </c>
      <c r="J11" s="39" t="s">
        <v>142</v>
      </c>
    </row>
    <row r="12" spans="1:10" x14ac:dyDescent="0.3">
      <c r="D12" s="38" t="s">
        <v>143</v>
      </c>
      <c r="E12" s="33" t="s">
        <v>137</v>
      </c>
      <c r="F12" s="33">
        <v>35</v>
      </c>
      <c r="G12" s="33">
        <v>51000</v>
      </c>
      <c r="H12" s="34">
        <v>46104</v>
      </c>
      <c r="I12" s="33">
        <v>73</v>
      </c>
      <c r="J12" s="39" t="s">
        <v>132</v>
      </c>
    </row>
    <row r="13" spans="1:10" x14ac:dyDescent="0.3">
      <c r="D13" s="38" t="s">
        <v>144</v>
      </c>
      <c r="E13" s="33" t="s">
        <v>134</v>
      </c>
      <c r="F13" s="33">
        <v>30</v>
      </c>
      <c r="G13" s="33">
        <v>45000</v>
      </c>
      <c r="H13" s="34">
        <v>46114</v>
      </c>
      <c r="I13" s="33">
        <v>60</v>
      </c>
      <c r="J13" s="39" t="s">
        <v>138</v>
      </c>
    </row>
    <row r="14" spans="1:10" x14ac:dyDescent="0.3">
      <c r="D14" s="38" t="s">
        <v>145</v>
      </c>
      <c r="E14" s="33" t="s">
        <v>140</v>
      </c>
      <c r="F14" s="33">
        <v>27</v>
      </c>
      <c r="G14" s="33">
        <v>40000</v>
      </c>
      <c r="H14" s="34">
        <v>46124</v>
      </c>
      <c r="I14" s="33">
        <v>95</v>
      </c>
      <c r="J14" s="39" t="s">
        <v>146</v>
      </c>
    </row>
    <row r="15" spans="1:10" x14ac:dyDescent="0.3">
      <c r="D15" s="38" t="s">
        <v>147</v>
      </c>
      <c r="E15" s="33" t="s">
        <v>137</v>
      </c>
      <c r="F15" s="33">
        <v>27</v>
      </c>
      <c r="G15" s="33">
        <v>70000</v>
      </c>
      <c r="H15" s="34">
        <v>46134</v>
      </c>
      <c r="I15" s="33">
        <v>82</v>
      </c>
      <c r="J15" s="39" t="s">
        <v>135</v>
      </c>
    </row>
    <row r="16" spans="1:10" x14ac:dyDescent="0.3">
      <c r="D16" s="40" t="s">
        <v>148</v>
      </c>
      <c r="E16" s="36" t="s">
        <v>131</v>
      </c>
      <c r="F16" s="36">
        <v>26</v>
      </c>
      <c r="G16" s="36">
        <v>36000</v>
      </c>
      <c r="H16" s="41">
        <v>46144</v>
      </c>
      <c r="I16" s="36">
        <v>45</v>
      </c>
      <c r="J16" s="37" t="s">
        <v>142</v>
      </c>
    </row>
  </sheetData>
  <phoneticPr fontId="9" type="noConversion"/>
  <pageMargins left="0.7" right="0.7" top="0.75" bottom="0.75" header="0.3" footer="0.3"/>
  <drawing r:id="rId1"/>
  <tableParts count="1">
    <tablePart r:id="rId2"/>
  </tableParts>
  <extLst>
    <ext xmlns:x15="http://schemas.microsoft.com/office/spreadsheetml/2010/11/main" uri="{3A4CF648-6AED-40f4-86FF-DC5316D8AED3}">
      <x14:slicerList xmlns:x14="http://schemas.microsoft.com/office/spreadsheetml/2009/9/main">
        <x14:slicer r:id="rId3"/>
      </x14:slicerList>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5E999B-B945-429F-9B09-BD38498E4920}">
  <dimension ref="A1:P11"/>
  <sheetViews>
    <sheetView zoomScale="115" zoomScaleNormal="115" workbookViewId="0">
      <selection activeCell="D1" sqref="D1:I11"/>
    </sheetView>
  </sheetViews>
  <sheetFormatPr defaultRowHeight="14.4" x14ac:dyDescent="0.3"/>
  <cols>
    <col min="2" max="2" width="27.88671875" bestFit="1" customWidth="1"/>
    <col min="4" max="4" width="9.33203125" bestFit="1" customWidth="1"/>
    <col min="5" max="5" width="11.109375" customWidth="1"/>
    <col min="6" max="6" width="4.21875" bestFit="1" customWidth="1"/>
    <col min="7" max="7" width="6.21875" bestFit="1" customWidth="1"/>
    <col min="8" max="8" width="11.21875" bestFit="1" customWidth="1"/>
    <col min="9" max="9" width="13.109375" bestFit="1" customWidth="1"/>
    <col min="11" max="11" width="9.33203125" bestFit="1" customWidth="1"/>
    <col min="12" max="12" width="11.109375" bestFit="1" customWidth="1"/>
    <col min="13" max="13" width="4.21875" bestFit="1" customWidth="1"/>
    <col min="14" max="14" width="6.21875" bestFit="1" customWidth="1"/>
    <col min="15" max="15" width="11.21875" bestFit="1" customWidth="1"/>
    <col min="16" max="16" width="13.109375" bestFit="1" customWidth="1"/>
  </cols>
  <sheetData>
    <row r="1" spans="1:16" ht="15.6" x14ac:dyDescent="0.3">
      <c r="A1" s="15" t="s">
        <v>117</v>
      </c>
      <c r="B1" s="22" t="s">
        <v>0</v>
      </c>
      <c r="D1" s="49" t="s">
        <v>123</v>
      </c>
      <c r="E1" s="49" t="s">
        <v>124</v>
      </c>
      <c r="F1" s="49" t="s">
        <v>125</v>
      </c>
      <c r="G1" s="49" t="s">
        <v>126</v>
      </c>
      <c r="H1" s="49" t="s">
        <v>127</v>
      </c>
      <c r="I1" s="49" t="s">
        <v>129</v>
      </c>
      <c r="K1" s="49" t="s">
        <v>123</v>
      </c>
      <c r="L1" s="49" t="s">
        <v>124</v>
      </c>
      <c r="M1" s="49" t="s">
        <v>125</v>
      </c>
      <c r="N1" s="49" t="s">
        <v>126</v>
      </c>
      <c r="O1" s="49" t="s">
        <v>127</v>
      </c>
      <c r="P1" s="49" t="s">
        <v>129</v>
      </c>
    </row>
    <row r="2" spans="1:16" ht="15.6" x14ac:dyDescent="0.3">
      <c r="A2" s="14">
        <v>1</v>
      </c>
      <c r="B2" s="16" t="s">
        <v>152</v>
      </c>
      <c r="D2" s="45" t="s">
        <v>130</v>
      </c>
      <c r="E2" s="45" t="s">
        <v>131</v>
      </c>
      <c r="F2" s="45">
        <v>25</v>
      </c>
      <c r="G2" s="45">
        <v>35000</v>
      </c>
      <c r="H2" s="46">
        <v>46054</v>
      </c>
      <c r="I2" s="45" t="s">
        <v>132</v>
      </c>
      <c r="K2" s="45" t="s">
        <v>130</v>
      </c>
      <c r="L2" s="45" t="s">
        <v>131</v>
      </c>
      <c r="M2" s="45">
        <v>25</v>
      </c>
      <c r="N2" s="45">
        <v>35000</v>
      </c>
      <c r="O2" s="46">
        <v>46054</v>
      </c>
      <c r="P2" s="45" t="s">
        <v>132</v>
      </c>
    </row>
    <row r="3" spans="1:16" x14ac:dyDescent="0.3">
      <c r="D3" s="47" t="s">
        <v>133</v>
      </c>
      <c r="E3" s="47" t="s">
        <v>134</v>
      </c>
      <c r="F3" s="47">
        <v>32</v>
      </c>
      <c r="G3" s="47">
        <v>55000</v>
      </c>
      <c r="H3" s="48">
        <v>46064</v>
      </c>
      <c r="I3" s="47" t="s">
        <v>135</v>
      </c>
      <c r="K3" s="47" t="s">
        <v>133</v>
      </c>
      <c r="L3" s="47" t="s">
        <v>134</v>
      </c>
      <c r="M3" s="47">
        <v>32</v>
      </c>
      <c r="N3" s="47">
        <v>55000</v>
      </c>
      <c r="O3" s="48">
        <v>46064</v>
      </c>
      <c r="P3" s="47" t="s">
        <v>135</v>
      </c>
    </row>
    <row r="4" spans="1:16" x14ac:dyDescent="0.3">
      <c r="D4" s="45" t="s">
        <v>136</v>
      </c>
      <c r="E4" s="45" t="s">
        <v>137</v>
      </c>
      <c r="F4" s="45">
        <v>32</v>
      </c>
      <c r="G4" s="45">
        <v>48000</v>
      </c>
      <c r="H4" s="46">
        <v>46074</v>
      </c>
      <c r="I4" s="45" t="s">
        <v>138</v>
      </c>
      <c r="K4" s="45" t="s">
        <v>136</v>
      </c>
      <c r="L4" s="45" t="s">
        <v>137</v>
      </c>
      <c r="M4" s="45">
        <v>32</v>
      </c>
      <c r="N4" s="45">
        <v>48000</v>
      </c>
      <c r="O4" s="46">
        <v>46074</v>
      </c>
      <c r="P4" s="45" t="s">
        <v>138</v>
      </c>
    </row>
    <row r="5" spans="1:16" x14ac:dyDescent="0.3">
      <c r="D5" s="47" t="s">
        <v>139</v>
      </c>
      <c r="E5" s="47" t="s">
        <v>140</v>
      </c>
      <c r="F5" s="47">
        <v>41</v>
      </c>
      <c r="G5" s="47">
        <v>62000</v>
      </c>
      <c r="H5" s="48">
        <v>46084</v>
      </c>
      <c r="I5" s="47" t="s">
        <v>135</v>
      </c>
      <c r="K5" s="47" t="s">
        <v>139</v>
      </c>
      <c r="L5" s="47" t="s">
        <v>140</v>
      </c>
      <c r="M5" s="47">
        <v>41</v>
      </c>
      <c r="N5" s="47">
        <v>62000</v>
      </c>
      <c r="O5" s="48">
        <v>46084</v>
      </c>
      <c r="P5" s="47" t="s">
        <v>135</v>
      </c>
    </row>
    <row r="6" spans="1:16" x14ac:dyDescent="0.3">
      <c r="D6" s="45" t="s">
        <v>141</v>
      </c>
      <c r="E6" s="45" t="s">
        <v>131</v>
      </c>
      <c r="F6" s="45">
        <v>28</v>
      </c>
      <c r="G6" s="45">
        <v>37000</v>
      </c>
      <c r="H6" s="46">
        <v>46094</v>
      </c>
      <c r="I6" s="45" t="s">
        <v>142</v>
      </c>
      <c r="K6" s="45" t="s">
        <v>141</v>
      </c>
      <c r="L6" s="45" t="s">
        <v>131</v>
      </c>
      <c r="M6" s="45">
        <v>28</v>
      </c>
      <c r="N6" s="45">
        <v>37000</v>
      </c>
      <c r="O6" s="46">
        <v>46094</v>
      </c>
      <c r="P6" s="45" t="s">
        <v>142</v>
      </c>
    </row>
    <row r="7" spans="1:16" x14ac:dyDescent="0.3">
      <c r="D7" s="47" t="s">
        <v>143</v>
      </c>
      <c r="E7" s="47" t="s">
        <v>137</v>
      </c>
      <c r="F7" s="47">
        <v>35</v>
      </c>
      <c r="G7" s="47">
        <v>51000</v>
      </c>
      <c r="H7" s="48">
        <v>46104</v>
      </c>
      <c r="I7" s="47" t="s">
        <v>132</v>
      </c>
      <c r="K7" s="47" t="s">
        <v>143</v>
      </c>
      <c r="L7" s="47" t="s">
        <v>137</v>
      </c>
      <c r="M7" s="47">
        <v>35</v>
      </c>
      <c r="N7" s="47">
        <v>51000</v>
      </c>
      <c r="O7" s="48">
        <v>46104</v>
      </c>
      <c r="P7" s="47" t="s">
        <v>132</v>
      </c>
    </row>
    <row r="8" spans="1:16" x14ac:dyDescent="0.3">
      <c r="D8" s="45" t="s">
        <v>144</v>
      </c>
      <c r="E8" s="45" t="s">
        <v>134</v>
      </c>
      <c r="F8" s="45">
        <v>30</v>
      </c>
      <c r="G8" s="45">
        <v>45000</v>
      </c>
      <c r="H8" s="46">
        <v>46114</v>
      </c>
      <c r="I8" s="45" t="s">
        <v>138</v>
      </c>
      <c r="K8" s="45" t="s">
        <v>144</v>
      </c>
      <c r="L8" s="45" t="s">
        <v>134</v>
      </c>
      <c r="M8" s="45">
        <v>30</v>
      </c>
      <c r="N8" s="45">
        <v>45000</v>
      </c>
      <c r="O8" s="46">
        <v>46114</v>
      </c>
      <c r="P8" s="45" t="s">
        <v>138</v>
      </c>
    </row>
    <row r="9" spans="1:16" x14ac:dyDescent="0.3">
      <c r="D9" s="47" t="s">
        <v>145</v>
      </c>
      <c r="E9" s="47" t="s">
        <v>140</v>
      </c>
      <c r="F9" s="47">
        <v>27</v>
      </c>
      <c r="G9" s="47">
        <v>40000</v>
      </c>
      <c r="H9" s="48">
        <v>46124</v>
      </c>
      <c r="I9" s="47" t="s">
        <v>146</v>
      </c>
      <c r="K9" s="47" t="s">
        <v>145</v>
      </c>
      <c r="L9" s="47" t="s">
        <v>140</v>
      </c>
      <c r="M9" s="47">
        <v>27</v>
      </c>
      <c r="N9" s="47">
        <v>40000</v>
      </c>
      <c r="O9" s="48">
        <v>46124</v>
      </c>
      <c r="P9" s="47" t="s">
        <v>146</v>
      </c>
    </row>
    <row r="10" spans="1:16" x14ac:dyDescent="0.3">
      <c r="D10" s="45" t="s">
        <v>147</v>
      </c>
      <c r="E10" s="45" t="s">
        <v>137</v>
      </c>
      <c r="F10" s="45">
        <v>27</v>
      </c>
      <c r="G10" s="45">
        <v>70000</v>
      </c>
      <c r="H10" s="46">
        <v>46134</v>
      </c>
      <c r="I10" s="45" t="s">
        <v>135</v>
      </c>
      <c r="K10" s="45" t="s">
        <v>147</v>
      </c>
      <c r="L10" s="45" t="s">
        <v>137</v>
      </c>
      <c r="M10" s="45">
        <v>27</v>
      </c>
      <c r="N10" s="45">
        <v>70000</v>
      </c>
      <c r="O10" s="46">
        <v>46134</v>
      </c>
      <c r="P10" s="45" t="s">
        <v>135</v>
      </c>
    </row>
    <row r="11" spans="1:16" x14ac:dyDescent="0.3">
      <c r="D11" s="47" t="s">
        <v>148</v>
      </c>
      <c r="E11" s="47" t="s">
        <v>131</v>
      </c>
      <c r="F11" s="47">
        <v>26</v>
      </c>
      <c r="G11" s="47">
        <v>36000</v>
      </c>
      <c r="H11" s="48">
        <v>46144</v>
      </c>
      <c r="I11" s="47" t="s">
        <v>142</v>
      </c>
      <c r="K11" s="47" t="s">
        <v>148</v>
      </c>
      <c r="L11" s="47" t="s">
        <v>131</v>
      </c>
      <c r="M11" s="47">
        <v>26</v>
      </c>
      <c r="N11" s="47">
        <v>36000</v>
      </c>
      <c r="O11" s="48">
        <v>46144</v>
      </c>
      <c r="P11" s="47" t="s">
        <v>142</v>
      </c>
    </row>
  </sheetData>
  <pageMargins left="0.7" right="0.7" top="0.75" bottom="0.75" header="0.3" footer="0.3"/>
  <pageSetup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EFF286-AFDA-4E60-BB1F-419D3F423E85}">
  <dimension ref="A1:S19"/>
  <sheetViews>
    <sheetView zoomScale="115" zoomScaleNormal="115" workbookViewId="0">
      <selection sqref="A1:B1"/>
    </sheetView>
  </sheetViews>
  <sheetFormatPr defaultRowHeight="14.4" x14ac:dyDescent="0.3"/>
  <cols>
    <col min="2" max="2" width="27.88671875" bestFit="1" customWidth="1"/>
    <col min="4" max="4" width="9.33203125" bestFit="1" customWidth="1"/>
    <col min="5" max="5" width="11.109375" bestFit="1" customWidth="1"/>
    <col min="6" max="6" width="4.21875" bestFit="1" customWidth="1"/>
    <col min="7" max="7" width="7.21875" bestFit="1" customWidth="1"/>
    <col min="8" max="8" width="11.21875" bestFit="1" customWidth="1"/>
    <col min="9" max="9" width="13.109375" bestFit="1" customWidth="1"/>
    <col min="12" max="12" width="6.21875" bestFit="1" customWidth="1"/>
    <col min="13" max="13" width="18.33203125" bestFit="1" customWidth="1"/>
    <col min="14" max="14" width="16.21875" bestFit="1" customWidth="1"/>
    <col min="15" max="15" width="7.21875" bestFit="1" customWidth="1"/>
    <col min="16" max="16" width="5.88671875" bestFit="1" customWidth="1"/>
    <col min="17" max="17" width="10" bestFit="1" customWidth="1"/>
    <col min="18" max="18" width="11" bestFit="1" customWidth="1"/>
  </cols>
  <sheetData>
    <row r="1" spans="1:19" ht="15.6" x14ac:dyDescent="0.3">
      <c r="A1" s="15" t="s">
        <v>117</v>
      </c>
      <c r="B1" s="22" t="s">
        <v>0</v>
      </c>
      <c r="D1" s="49" t="s">
        <v>123</v>
      </c>
      <c r="E1" s="49" t="s">
        <v>124</v>
      </c>
      <c r="F1" s="49" t="s">
        <v>125</v>
      </c>
      <c r="G1" s="49" t="s">
        <v>126</v>
      </c>
      <c r="H1" s="49" t="s">
        <v>127</v>
      </c>
      <c r="I1" s="49" t="s">
        <v>129</v>
      </c>
      <c r="J1" s="49" t="s">
        <v>129</v>
      </c>
      <c r="R1" s="5"/>
      <c r="S1" s="5" t="s">
        <v>189</v>
      </c>
    </row>
    <row r="2" spans="1:19" ht="15.6" x14ac:dyDescent="0.3">
      <c r="A2" s="14">
        <v>1</v>
      </c>
      <c r="B2" s="16" t="s">
        <v>153</v>
      </c>
      <c r="D2" s="45" t="s">
        <v>130</v>
      </c>
      <c r="E2" s="45" t="s">
        <v>131</v>
      </c>
      <c r="F2" s="45">
        <v>25</v>
      </c>
      <c r="G2" s="45">
        <v>35000</v>
      </c>
      <c r="H2" s="46">
        <v>46054</v>
      </c>
      <c r="I2" s="45" t="s">
        <v>132</v>
      </c>
      <c r="J2" s="49" t="s">
        <v>129</v>
      </c>
      <c r="L2" s="13">
        <v>10001</v>
      </c>
      <c r="M2" s="13" t="s">
        <v>85</v>
      </c>
      <c r="N2" s="13" t="s">
        <v>38</v>
      </c>
      <c r="O2" s="13">
        <v>158075</v>
      </c>
      <c r="P2" s="13" t="s">
        <v>39</v>
      </c>
      <c r="Q2" s="24" t="s">
        <v>162</v>
      </c>
      <c r="R2" s="24" t="s">
        <v>175</v>
      </c>
      <c r="S2" s="24" t="s">
        <v>187</v>
      </c>
    </row>
    <row r="3" spans="1:19" ht="15.6" x14ac:dyDescent="0.3">
      <c r="A3" s="14">
        <v>2</v>
      </c>
      <c r="B3" s="16" t="s">
        <v>155</v>
      </c>
      <c r="D3" s="47" t="s">
        <v>133</v>
      </c>
      <c r="E3" s="47" t="s">
        <v>134</v>
      </c>
      <c r="F3" s="47">
        <v>32</v>
      </c>
      <c r="G3" s="47">
        <v>55000</v>
      </c>
      <c r="H3" s="48">
        <v>46064</v>
      </c>
      <c r="I3" s="47" t="s">
        <v>135</v>
      </c>
      <c r="J3" s="49" t="s">
        <v>129</v>
      </c>
      <c r="L3" s="13">
        <v>10002</v>
      </c>
      <c r="M3" s="13" t="s">
        <v>40</v>
      </c>
      <c r="N3" s="13" t="s">
        <v>41</v>
      </c>
      <c r="O3" s="13">
        <v>40713</v>
      </c>
      <c r="P3" s="13" t="s">
        <v>39</v>
      </c>
      <c r="Q3" s="5" t="s">
        <v>163</v>
      </c>
      <c r="R3" s="5" t="s">
        <v>176</v>
      </c>
      <c r="S3" s="5" t="s">
        <v>188</v>
      </c>
    </row>
    <row r="4" spans="1:19" ht="15.6" x14ac:dyDescent="0.3">
      <c r="A4" s="14">
        <v>3</v>
      </c>
      <c r="B4" s="16" t="s">
        <v>154</v>
      </c>
      <c r="D4" s="45" t="s">
        <v>136</v>
      </c>
      <c r="E4" s="45" t="s">
        <v>137</v>
      </c>
      <c r="F4" s="45">
        <v>32</v>
      </c>
      <c r="G4" s="45">
        <v>48000</v>
      </c>
      <c r="H4" s="46">
        <v>46074</v>
      </c>
      <c r="I4" s="45" t="s">
        <v>138</v>
      </c>
      <c r="J4" s="49" t="s">
        <v>129</v>
      </c>
      <c r="L4" s="13">
        <v>10003</v>
      </c>
      <c r="M4" s="13" t="s">
        <v>42</v>
      </c>
      <c r="N4" s="13" t="s">
        <v>41</v>
      </c>
      <c r="O4" s="13">
        <v>55568</v>
      </c>
      <c r="P4" s="13" t="s">
        <v>39</v>
      </c>
      <c r="Q4" s="5" t="s">
        <v>164</v>
      </c>
      <c r="R4" s="5" t="s">
        <v>177</v>
      </c>
      <c r="S4" s="5" t="s">
        <v>190</v>
      </c>
    </row>
    <row r="5" spans="1:19" x14ac:dyDescent="0.3">
      <c r="D5" s="47" t="s">
        <v>139</v>
      </c>
      <c r="E5" s="47" t="s">
        <v>140</v>
      </c>
      <c r="F5" s="47">
        <v>41</v>
      </c>
      <c r="G5" s="47">
        <v>62000</v>
      </c>
      <c r="H5" s="48">
        <v>46084</v>
      </c>
      <c r="I5" s="47" t="s">
        <v>135</v>
      </c>
      <c r="J5" s="49" t="s">
        <v>129</v>
      </c>
      <c r="L5" s="13">
        <v>10004</v>
      </c>
      <c r="M5" s="13" t="s">
        <v>43</v>
      </c>
      <c r="N5" s="13" t="s">
        <v>41</v>
      </c>
      <c r="O5" s="13">
        <v>324002</v>
      </c>
      <c r="P5" s="13" t="s">
        <v>39</v>
      </c>
      <c r="Q5" s="5" t="s">
        <v>165</v>
      </c>
      <c r="R5" s="5" t="s">
        <v>178</v>
      </c>
      <c r="S5" s="5" t="s">
        <v>191</v>
      </c>
    </row>
    <row r="6" spans="1:19" x14ac:dyDescent="0.3">
      <c r="D6" s="45" t="s">
        <v>141</v>
      </c>
      <c r="E6" s="45" t="s">
        <v>131</v>
      </c>
      <c r="F6" s="45">
        <v>28</v>
      </c>
      <c r="G6" s="45">
        <v>37000</v>
      </c>
      <c r="H6" s="46">
        <v>46094</v>
      </c>
      <c r="I6" s="45" t="s">
        <v>142</v>
      </c>
      <c r="J6" s="49" t="s">
        <v>129</v>
      </c>
      <c r="L6" s="13">
        <v>10005</v>
      </c>
      <c r="M6" s="13" t="s">
        <v>44</v>
      </c>
      <c r="N6" s="13" t="s">
        <v>41</v>
      </c>
      <c r="O6" s="13">
        <v>413737</v>
      </c>
      <c r="P6" s="13" t="s">
        <v>39</v>
      </c>
      <c r="Q6" s="5" t="s">
        <v>166</v>
      </c>
      <c r="R6" s="5" t="s">
        <v>179</v>
      </c>
      <c r="S6" s="5" t="s">
        <v>192</v>
      </c>
    </row>
    <row r="7" spans="1:19" x14ac:dyDescent="0.3">
      <c r="D7" s="47" t="s">
        <v>143</v>
      </c>
      <c r="E7" s="47" t="s">
        <v>137</v>
      </c>
      <c r="F7" s="47">
        <v>35</v>
      </c>
      <c r="G7" s="47">
        <v>51000</v>
      </c>
      <c r="H7" s="48">
        <v>46104</v>
      </c>
      <c r="I7" s="47" t="s">
        <v>132</v>
      </c>
      <c r="J7" s="49" t="s">
        <v>129</v>
      </c>
      <c r="L7" s="13">
        <v>10006</v>
      </c>
      <c r="M7" s="13" t="s">
        <v>45</v>
      </c>
      <c r="N7" s="13" t="s">
        <v>46</v>
      </c>
      <c r="O7" s="13">
        <v>124626</v>
      </c>
      <c r="P7" s="13" t="s">
        <v>39</v>
      </c>
      <c r="Q7" s="5" t="s">
        <v>167</v>
      </c>
      <c r="R7" s="5" t="s">
        <v>180</v>
      </c>
      <c r="S7" s="5" t="s">
        <v>193</v>
      </c>
    </row>
    <row r="8" spans="1:19" x14ac:dyDescent="0.3">
      <c r="D8" s="45" t="s">
        <v>144</v>
      </c>
      <c r="E8" s="45" t="s">
        <v>134</v>
      </c>
      <c r="F8" s="45">
        <v>30</v>
      </c>
      <c r="G8" s="45">
        <v>45000</v>
      </c>
      <c r="H8" s="46">
        <v>46114</v>
      </c>
      <c r="I8" s="45" t="s">
        <v>138</v>
      </c>
      <c r="J8" s="49" t="s">
        <v>129</v>
      </c>
      <c r="L8" s="13">
        <v>10007</v>
      </c>
      <c r="M8" s="13" t="s">
        <v>47</v>
      </c>
      <c r="N8" s="13" t="s">
        <v>46</v>
      </c>
      <c r="O8" s="13">
        <v>179583</v>
      </c>
      <c r="P8" s="13" t="s">
        <v>39</v>
      </c>
      <c r="Q8" s="5" t="s">
        <v>168</v>
      </c>
      <c r="R8" s="5" t="s">
        <v>181</v>
      </c>
      <c r="S8" s="5" t="s">
        <v>194</v>
      </c>
    </row>
    <row r="9" spans="1:19" x14ac:dyDescent="0.3">
      <c r="D9" s="47" t="s">
        <v>145</v>
      </c>
      <c r="E9" s="47" t="s">
        <v>140</v>
      </c>
      <c r="F9" s="47">
        <v>27</v>
      </c>
      <c r="G9" s="47">
        <v>40000</v>
      </c>
      <c r="H9" s="48">
        <v>46124</v>
      </c>
      <c r="I9" s="47" t="s">
        <v>146</v>
      </c>
      <c r="J9" s="49" t="s">
        <v>129</v>
      </c>
      <c r="L9" s="13">
        <v>10008</v>
      </c>
      <c r="M9" s="13" t="s">
        <v>48</v>
      </c>
      <c r="N9" s="13" t="s">
        <v>38</v>
      </c>
      <c r="O9" s="13">
        <v>163750</v>
      </c>
      <c r="P9" s="13" t="s">
        <v>49</v>
      </c>
      <c r="Q9" s="5" t="s">
        <v>169</v>
      </c>
      <c r="R9" s="5" t="s">
        <v>182</v>
      </c>
      <c r="S9" s="5" t="s">
        <v>195</v>
      </c>
    </row>
    <row r="10" spans="1:19" x14ac:dyDescent="0.3">
      <c r="D10" s="45" t="s">
        <v>147</v>
      </c>
      <c r="E10" s="45" t="s">
        <v>137</v>
      </c>
      <c r="F10" s="45">
        <v>27</v>
      </c>
      <c r="G10" s="45">
        <v>70000</v>
      </c>
      <c r="H10" s="46">
        <v>46134</v>
      </c>
      <c r="I10" s="45" t="s">
        <v>135</v>
      </c>
      <c r="J10" s="49" t="s">
        <v>129</v>
      </c>
      <c r="L10" s="13">
        <v>10009</v>
      </c>
      <c r="M10" s="13" t="s">
        <v>50</v>
      </c>
      <c r="N10" s="13" t="s">
        <v>41</v>
      </c>
      <c r="O10" s="13">
        <v>97898</v>
      </c>
      <c r="P10" s="13" t="s">
        <v>49</v>
      </c>
      <c r="Q10" s="5" t="s">
        <v>170</v>
      </c>
      <c r="R10" s="5" t="s">
        <v>177</v>
      </c>
      <c r="S10" s="5" t="s">
        <v>196</v>
      </c>
    </row>
    <row r="11" spans="1:19" x14ac:dyDescent="0.3">
      <c r="D11" s="47" t="s">
        <v>148</v>
      </c>
      <c r="E11" s="47" t="s">
        <v>131</v>
      </c>
      <c r="F11" s="47">
        <v>26</v>
      </c>
      <c r="G11" s="47">
        <v>36000</v>
      </c>
      <c r="H11" s="48">
        <v>46144</v>
      </c>
      <c r="I11" s="47" t="s">
        <v>142</v>
      </c>
      <c r="J11" s="49" t="s">
        <v>129</v>
      </c>
      <c r="L11" s="13">
        <v>10010</v>
      </c>
      <c r="M11" s="13" t="s">
        <v>51</v>
      </c>
      <c r="N11" s="13" t="s">
        <v>41</v>
      </c>
      <c r="O11" s="13">
        <v>222153</v>
      </c>
      <c r="P11" s="13" t="s">
        <v>49</v>
      </c>
      <c r="Q11" s="5" t="s">
        <v>171</v>
      </c>
      <c r="R11" s="5" t="s">
        <v>183</v>
      </c>
      <c r="S11" s="5" t="s">
        <v>197</v>
      </c>
    </row>
    <row r="12" spans="1:19" x14ac:dyDescent="0.3">
      <c r="F12">
        <f>SUM(F2:F11)</f>
        <v>303</v>
      </c>
      <c r="G12">
        <f>SUM(G2:G11)</f>
        <v>479000</v>
      </c>
      <c r="L12" s="13">
        <v>10011</v>
      </c>
      <c r="M12" s="13" t="s">
        <v>52</v>
      </c>
      <c r="N12" s="13" t="s">
        <v>41</v>
      </c>
      <c r="O12" s="13">
        <v>403604</v>
      </c>
      <c r="P12" s="13" t="s">
        <v>49</v>
      </c>
      <c r="Q12" s="5" t="s">
        <v>172</v>
      </c>
      <c r="R12" s="5" t="s">
        <v>184</v>
      </c>
      <c r="S12" s="5" t="s">
        <v>198</v>
      </c>
    </row>
    <row r="13" spans="1:19" x14ac:dyDescent="0.3">
      <c r="L13" s="13">
        <v>10012</v>
      </c>
      <c r="M13" s="13" t="s">
        <v>53</v>
      </c>
      <c r="N13" s="13" t="s">
        <v>41</v>
      </c>
      <c r="O13" s="13">
        <v>216228</v>
      </c>
      <c r="P13" s="13" t="s">
        <v>54</v>
      </c>
      <c r="Q13" s="5" t="s">
        <v>173</v>
      </c>
      <c r="R13" s="5" t="s">
        <v>185</v>
      </c>
      <c r="S13" s="5" t="s">
        <v>199</v>
      </c>
    </row>
    <row r="14" spans="1:19" x14ac:dyDescent="0.3">
      <c r="C14" s="50" t="s">
        <v>156</v>
      </c>
      <c r="L14" s="13">
        <v>10013</v>
      </c>
      <c r="M14" s="13" t="s">
        <v>55</v>
      </c>
      <c r="N14" s="13" t="s">
        <v>41</v>
      </c>
      <c r="O14" s="13">
        <v>177897</v>
      </c>
      <c r="P14" s="13" t="s">
        <v>54</v>
      </c>
      <c r="Q14" s="5" t="s">
        <v>174</v>
      </c>
      <c r="R14" s="5" t="s">
        <v>186</v>
      </c>
      <c r="S14" s="5" t="s">
        <v>200</v>
      </c>
    </row>
    <row r="15" spans="1:19" x14ac:dyDescent="0.3">
      <c r="C15" t="s">
        <v>157</v>
      </c>
    </row>
    <row r="16" spans="1:19" x14ac:dyDescent="0.3">
      <c r="C16" t="s">
        <v>158</v>
      </c>
    </row>
    <row r="17" spans="3:3" x14ac:dyDescent="0.3">
      <c r="C17" t="s">
        <v>159</v>
      </c>
    </row>
    <row r="18" spans="3:3" x14ac:dyDescent="0.3">
      <c r="C18" t="s">
        <v>160</v>
      </c>
    </row>
    <row r="19" spans="3:3" x14ac:dyDescent="0.3">
      <c r="C19" t="s">
        <v>161</v>
      </c>
    </row>
  </sheetData>
  <pageMargins left="0.7" right="0.7" top="0.75" bottom="0.75" header="0.3" footer="0.3"/>
  <pageSetup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694AE3-0D6D-4035-A5F0-8AB9DA739A8F}">
  <dimension ref="A1:J20"/>
  <sheetViews>
    <sheetView tabSelected="1" zoomScale="85" zoomScaleNormal="85" workbookViewId="0">
      <selection activeCell="C1" sqref="C1:H11"/>
    </sheetView>
  </sheetViews>
  <sheetFormatPr defaultRowHeight="14.4" x14ac:dyDescent="0.3"/>
  <cols>
    <col min="1" max="1" width="81.33203125" style="23" bestFit="1" customWidth="1"/>
    <col min="2" max="2" width="6.44140625" bestFit="1" customWidth="1"/>
    <col min="3" max="3" width="21.5546875" bestFit="1" customWidth="1"/>
    <col min="4" max="4" width="16.88671875" bestFit="1" customWidth="1"/>
    <col min="5" max="5" width="20.88671875" bestFit="1" customWidth="1"/>
    <col min="6" max="6" width="13.33203125" bestFit="1" customWidth="1"/>
    <col min="7" max="7" width="21.109375" bestFit="1" customWidth="1"/>
    <col min="8" max="8" width="13.33203125" bestFit="1" customWidth="1"/>
  </cols>
  <sheetData>
    <row r="1" spans="1:10" ht="21" x14ac:dyDescent="0.35">
      <c r="A1" s="4" t="s">
        <v>0</v>
      </c>
      <c r="C1" s="52" t="s">
        <v>201</v>
      </c>
      <c r="D1" s="52" t="s">
        <v>34</v>
      </c>
      <c r="E1" s="52" t="s">
        <v>124</v>
      </c>
      <c r="F1" s="52" t="s">
        <v>126</v>
      </c>
      <c r="G1" s="52" t="s">
        <v>127</v>
      </c>
      <c r="H1" s="52" t="s">
        <v>202</v>
      </c>
      <c r="J1" s="52" t="s">
        <v>202</v>
      </c>
    </row>
    <row r="2" spans="1:10" ht="21" x14ac:dyDescent="0.35">
      <c r="A2" s="9" t="s">
        <v>230</v>
      </c>
      <c r="C2" s="53">
        <v>101</v>
      </c>
      <c r="D2" s="53" t="s">
        <v>203</v>
      </c>
      <c r="E2" s="53" t="s">
        <v>131</v>
      </c>
      <c r="F2" s="54">
        <v>45000</v>
      </c>
      <c r="G2" s="55">
        <v>46045</v>
      </c>
      <c r="H2" s="53" t="s">
        <v>204</v>
      </c>
      <c r="J2" s="53" t="s">
        <v>204</v>
      </c>
    </row>
    <row r="3" spans="1:10" ht="21" x14ac:dyDescent="0.35">
      <c r="A3" s="9" t="s">
        <v>227</v>
      </c>
      <c r="C3" s="53">
        <v>102</v>
      </c>
      <c r="D3" s="53" t="s">
        <v>205</v>
      </c>
      <c r="E3" s="53" t="s">
        <v>134</v>
      </c>
      <c r="F3" s="54">
        <v>55000</v>
      </c>
      <c r="G3" s="55">
        <v>46055</v>
      </c>
      <c r="H3" s="53" t="s">
        <v>204</v>
      </c>
      <c r="J3" s="53" t="s">
        <v>204</v>
      </c>
    </row>
    <row r="4" spans="1:10" ht="21" x14ac:dyDescent="0.35">
      <c r="A4" s="9" t="s">
        <v>229</v>
      </c>
      <c r="C4" s="53">
        <v>103</v>
      </c>
      <c r="D4" s="53" t="s">
        <v>206</v>
      </c>
      <c r="E4" s="53" t="s">
        <v>137</v>
      </c>
      <c r="F4" s="54">
        <v>70000</v>
      </c>
      <c r="G4" s="55">
        <v>46065</v>
      </c>
      <c r="H4" s="53" t="s">
        <v>207</v>
      </c>
      <c r="J4" s="53" t="s">
        <v>207</v>
      </c>
    </row>
    <row r="5" spans="1:10" ht="21" x14ac:dyDescent="0.35">
      <c r="A5" s="9" t="s">
        <v>231</v>
      </c>
      <c r="C5" s="53">
        <v>104</v>
      </c>
      <c r="D5" s="53" t="s">
        <v>208</v>
      </c>
      <c r="E5" s="53" t="s">
        <v>209</v>
      </c>
      <c r="F5" s="54">
        <v>60000</v>
      </c>
      <c r="G5" s="55">
        <v>46075</v>
      </c>
      <c r="H5" s="53" t="s">
        <v>204</v>
      </c>
      <c r="J5" s="53" t="s">
        <v>204</v>
      </c>
    </row>
    <row r="6" spans="1:10" ht="21" x14ac:dyDescent="0.35">
      <c r="A6" s="9" t="s">
        <v>228</v>
      </c>
      <c r="C6" s="53">
        <v>105</v>
      </c>
      <c r="D6" s="57" t="s">
        <v>210</v>
      </c>
      <c r="E6" s="53" t="s">
        <v>137</v>
      </c>
      <c r="F6" s="54">
        <v>80000</v>
      </c>
      <c r="G6" s="55">
        <v>46085</v>
      </c>
      <c r="H6" s="53" t="s">
        <v>204</v>
      </c>
      <c r="J6" s="53" t="s">
        <v>204</v>
      </c>
    </row>
    <row r="7" spans="1:10" ht="21" x14ac:dyDescent="0.3">
      <c r="A7" s="56"/>
      <c r="C7" s="53">
        <v>106</v>
      </c>
      <c r="D7" s="53" t="s">
        <v>211</v>
      </c>
      <c r="E7" s="53" t="s">
        <v>134</v>
      </c>
      <c r="F7" s="54">
        <v>50000</v>
      </c>
      <c r="G7" s="55">
        <v>46095</v>
      </c>
      <c r="H7" s="53" t="s">
        <v>207</v>
      </c>
      <c r="J7" s="53" t="s">
        <v>207</v>
      </c>
    </row>
    <row r="8" spans="1:10" ht="21" x14ac:dyDescent="0.35">
      <c r="A8" s="51" t="s">
        <v>216</v>
      </c>
      <c r="C8" s="53">
        <v>107</v>
      </c>
      <c r="D8" s="53" t="s">
        <v>212</v>
      </c>
      <c r="E8" s="53" t="s">
        <v>131</v>
      </c>
      <c r="F8" s="54">
        <v>47000</v>
      </c>
      <c r="G8" s="55">
        <v>46105</v>
      </c>
      <c r="H8" s="53" t="s">
        <v>204</v>
      </c>
      <c r="J8" s="53" t="s">
        <v>204</v>
      </c>
    </row>
    <row r="9" spans="1:10" ht="21" x14ac:dyDescent="0.35">
      <c r="A9" s="9" t="s">
        <v>217</v>
      </c>
      <c r="C9" s="53">
        <v>108</v>
      </c>
      <c r="D9" s="53" t="s">
        <v>213</v>
      </c>
      <c r="E9" s="53" t="s">
        <v>209</v>
      </c>
      <c r="F9" s="54">
        <v>65000</v>
      </c>
      <c r="G9" s="55">
        <v>46115</v>
      </c>
      <c r="H9" s="53" t="s">
        <v>204</v>
      </c>
      <c r="J9" s="53" t="s">
        <v>204</v>
      </c>
    </row>
    <row r="10" spans="1:10" ht="21" x14ac:dyDescent="0.35">
      <c r="A10" s="9" t="s">
        <v>218</v>
      </c>
      <c r="C10" s="53">
        <v>109</v>
      </c>
      <c r="D10" s="57" t="s">
        <v>214</v>
      </c>
      <c r="E10" s="53" t="s">
        <v>137</v>
      </c>
      <c r="F10" s="54">
        <v>90000</v>
      </c>
      <c r="G10" s="55">
        <v>46125</v>
      </c>
      <c r="H10" s="53" t="s">
        <v>204</v>
      </c>
      <c r="J10" s="53" t="s">
        <v>204</v>
      </c>
    </row>
    <row r="11" spans="1:10" ht="21" x14ac:dyDescent="0.35">
      <c r="A11" s="9" t="s">
        <v>232</v>
      </c>
      <c r="C11" s="53">
        <v>110</v>
      </c>
      <c r="D11" s="53" t="s">
        <v>215</v>
      </c>
      <c r="E11" s="53" t="s">
        <v>134</v>
      </c>
      <c r="F11" s="54">
        <v>52000</v>
      </c>
      <c r="G11" s="55">
        <v>46135</v>
      </c>
      <c r="H11" s="53" t="s">
        <v>204</v>
      </c>
      <c r="J11" s="53" t="s">
        <v>204</v>
      </c>
    </row>
    <row r="12" spans="1:10" ht="18" x14ac:dyDescent="0.35">
      <c r="A12" s="9" t="s">
        <v>219</v>
      </c>
    </row>
    <row r="13" spans="1:10" ht="21" x14ac:dyDescent="0.35">
      <c r="A13" s="9" t="s">
        <v>220</v>
      </c>
      <c r="C13" s="53">
        <v>111</v>
      </c>
      <c r="D13" s="53" t="s">
        <v>215</v>
      </c>
      <c r="E13" s="53" t="s">
        <v>134</v>
      </c>
      <c r="F13" s="54">
        <v>52000</v>
      </c>
      <c r="G13" s="55">
        <v>46135</v>
      </c>
      <c r="H13" s="53" t="s">
        <v>204</v>
      </c>
    </row>
    <row r="14" spans="1:10" ht="21" x14ac:dyDescent="0.35">
      <c r="A14" s="51" t="s">
        <v>221</v>
      </c>
      <c r="C14" s="52" t="s">
        <v>124</v>
      </c>
      <c r="D14" s="52" t="s">
        <v>126</v>
      </c>
    </row>
    <row r="15" spans="1:10" ht="21" x14ac:dyDescent="0.35">
      <c r="A15" s="9"/>
      <c r="C15" s="53" t="s">
        <v>137</v>
      </c>
      <c r="D15" t="s">
        <v>233</v>
      </c>
    </row>
    <row r="16" spans="1:10" ht="18" x14ac:dyDescent="0.35">
      <c r="A16" s="51" t="s">
        <v>224</v>
      </c>
    </row>
    <row r="17" spans="1:8" ht="21" x14ac:dyDescent="0.35">
      <c r="A17" s="9" t="s">
        <v>225</v>
      </c>
      <c r="C17" s="52" t="s">
        <v>201</v>
      </c>
      <c r="D17" s="52" t="s">
        <v>34</v>
      </c>
      <c r="E17" s="52" t="s">
        <v>124</v>
      </c>
      <c r="F17" s="52" t="s">
        <v>126</v>
      </c>
      <c r="G17" s="52" t="s">
        <v>127</v>
      </c>
      <c r="H17" s="52" t="s">
        <v>202</v>
      </c>
    </row>
    <row r="18" spans="1:8" ht="21" x14ac:dyDescent="0.35">
      <c r="A18" s="9" t="s">
        <v>226</v>
      </c>
      <c r="C18" s="53">
        <v>105</v>
      </c>
      <c r="D18" s="57" t="s">
        <v>210</v>
      </c>
      <c r="E18" s="53" t="s">
        <v>137</v>
      </c>
      <c r="F18" s="54">
        <v>80000</v>
      </c>
      <c r="G18" s="55">
        <v>46085</v>
      </c>
      <c r="H18" s="53" t="s">
        <v>204</v>
      </c>
    </row>
    <row r="19" spans="1:8" ht="21" x14ac:dyDescent="0.35">
      <c r="A19" s="9" t="s">
        <v>223</v>
      </c>
      <c r="C19" s="53">
        <v>109</v>
      </c>
      <c r="D19" s="57" t="s">
        <v>214</v>
      </c>
      <c r="E19" s="53" t="s">
        <v>137</v>
      </c>
      <c r="F19" s="54">
        <v>90000</v>
      </c>
      <c r="G19" s="55">
        <v>46125</v>
      </c>
      <c r="H19" s="53" t="s">
        <v>204</v>
      </c>
    </row>
    <row r="20" spans="1:8" ht="18" x14ac:dyDescent="0.35">
      <c r="A20" s="9" t="s">
        <v>222</v>
      </c>
    </row>
  </sheetData>
  <autoFilter ref="C1:H11" xr:uid="{CB694AE3-0D6D-4035-A5F0-8AB9DA739A8F}"/>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10</vt:i4>
      </vt:variant>
      <vt:variant>
        <vt:lpstr>Named Ranges</vt:lpstr>
      </vt:variant>
      <vt:variant>
        <vt:i4>2</vt:i4>
      </vt:variant>
    </vt:vector>
  </HeadingPairs>
  <TitlesOfParts>
    <vt:vector size="12" baseType="lpstr">
      <vt:lpstr>Video-1</vt:lpstr>
      <vt:lpstr>Video-2</vt:lpstr>
      <vt:lpstr>Video-2 Topics</vt:lpstr>
      <vt:lpstr>Video-3</vt:lpstr>
      <vt:lpstr>Video-4</vt:lpstr>
      <vt:lpstr>Video-5</vt:lpstr>
      <vt:lpstr>Video-6</vt:lpstr>
      <vt:lpstr>Video-7</vt:lpstr>
      <vt:lpstr>Video-8</vt:lpstr>
      <vt:lpstr>Video-9</vt:lpstr>
      <vt:lpstr>'Video-9'!Criteria</vt:lpstr>
      <vt:lpstr>'Video-9'!Extract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Amit Kumar</dc:creator>
  <cp:lastModifiedBy>Amit Kumar</cp:lastModifiedBy>
  <dcterms:created xsi:type="dcterms:W3CDTF">2015-06-05T18:17:20Z</dcterms:created>
  <dcterms:modified xsi:type="dcterms:W3CDTF">2026-04-08T12:56:24Z</dcterms:modified>
</cp:coreProperties>
</file>